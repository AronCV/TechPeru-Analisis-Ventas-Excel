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WinterOS\Desktop\"/>
    </mc:Choice>
  </mc:AlternateContent>
  <xr:revisionPtr revIDLastSave="0" documentId="13_ncr:1_{CAE367A8-0979-4BFF-A854-C818D95C2D11}" xr6:coauthVersionLast="47" xr6:coauthVersionMax="47" xr10:uidLastSave="{00000000-0000-0000-0000-000000000000}"/>
  <bookViews>
    <workbookView xWindow="14400" yWindow="0" windowWidth="14400" windowHeight="15600" tabRatio="790" xr2:uid="{00000000-000D-0000-FFFF-FFFF00000000}"/>
  </bookViews>
  <sheets>
    <sheet name="KPI Dashboard" sheetId="8" r:id="rId1"/>
    <sheet name="Análisis" sheetId="10" r:id="rId2"/>
    <sheet name="Reporte Mensual" sheetId="11" r:id="rId3"/>
    <sheet name="Ranking" sheetId="12" r:id="rId4"/>
    <sheet name="Tabla Dinámica" sheetId="9" r:id="rId5"/>
    <sheet name="Ventas" sheetId="1" r:id="rId6"/>
    <sheet name="Empleados" sheetId="2" r:id="rId7"/>
  </sheets>
  <definedNames>
    <definedName name="SegmentaciónDeDatos_Categoría">#N/A</definedName>
    <definedName name="SegmentaciónDeDatos_Región">#N/A</definedName>
  </definedNames>
  <calcPr calcId="191029" iterateDelta="1E-4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0" l="1"/>
  <c r="K5" i="8"/>
  <c r="K7" i="8"/>
  <c r="K8" i="8"/>
  <c r="K9" i="8"/>
  <c r="K10" i="8"/>
  <c r="K11" i="8"/>
  <c r="K14" i="8"/>
  <c r="K15" i="8"/>
  <c r="K16" i="8"/>
  <c r="K17" i="8"/>
  <c r="K18" i="8"/>
  <c r="C3" i="8"/>
  <c r="F3" i="8"/>
  <c r="C5" i="8"/>
  <c r="F5" i="8"/>
  <c r="C9" i="10"/>
  <c r="C10" i="10"/>
  <c r="C11" i="10"/>
  <c r="C12" i="10"/>
  <c r="C13" i="10"/>
  <c r="C14" i="10"/>
  <c r="C18" i="10"/>
  <c r="C19" i="10"/>
  <c r="C20" i="10"/>
  <c r="C22" i="10"/>
  <c r="C14" i="11" a="1"/>
  <c r="C15" i="11" a="1"/>
  <c r="D9" i="12"/>
  <c r="D10" i="12"/>
  <c r="D7" i="12"/>
  <c r="D11" i="12"/>
  <c r="D8" i="12"/>
  <c r="E15" i="12"/>
  <c r="E19" i="12"/>
  <c r="E18" i="12"/>
  <c r="E17" i="12"/>
  <c r="E16" i="12"/>
  <c r="D19" i="12"/>
  <c r="D18" i="12"/>
  <c r="D17" i="12"/>
  <c r="D16" i="12"/>
  <c r="D15" i="12"/>
  <c r="C19" i="12"/>
  <c r="C18" i="12"/>
  <c r="C17" i="12"/>
  <c r="C16" i="12"/>
  <c r="C9" i="12"/>
  <c r="C10" i="12"/>
  <c r="C11" i="12"/>
  <c r="C8" i="12"/>
  <c r="C7" i="12"/>
  <c r="C15" i="12"/>
  <c r="D6" i="12"/>
  <c r="C6" i="12"/>
  <c r="D17" i="11"/>
  <c r="E6" i="11"/>
  <c r="E7" i="11"/>
  <c r="E8" i="11"/>
  <c r="E9" i="11"/>
  <c r="E10" i="11"/>
  <c r="E11" i="11"/>
  <c r="E12" i="11"/>
  <c r="E13" i="11"/>
  <c r="E16" i="11"/>
  <c r="E5" i="11"/>
  <c r="D16" i="11" a="1"/>
  <c r="D15" i="11" a="1"/>
  <c r="D14" i="11" a="1"/>
  <c r="D13" i="11" a="1"/>
  <c r="D12" i="11" a="1"/>
  <c r="D11" i="11" a="1"/>
  <c r="D10" i="11" a="1"/>
  <c r="D9" i="11" a="1"/>
  <c r="D8" i="11" a="1"/>
  <c r="D7" i="11" a="1"/>
  <c r="D6" i="11" a="1"/>
  <c r="D5" i="11" a="1"/>
  <c r="C16" i="11" a="1"/>
  <c r="C13" i="11" a="1"/>
  <c r="C12" i="11" a="1"/>
  <c r="C11" i="11" a="1"/>
  <c r="C10" i="11" a="1"/>
  <c r="C9" i="11" a="1"/>
  <c r="C8" i="11" a="1"/>
  <c r="C7" i="11" a="1"/>
  <c r="C6" i="11" a="1"/>
  <c r="C5" i="11" a="1"/>
  <c r="K10" i="1"/>
  <c r="K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M3" i="1"/>
  <c r="M11" i="1"/>
  <c r="M4" i="1"/>
  <c r="K7" i="1"/>
  <c r="K5" i="1"/>
  <c r="J3" i="1"/>
  <c r="K57" i="1"/>
  <c r="K45" i="1"/>
  <c r="K8" i="1"/>
  <c r="K9" i="1"/>
  <c r="K11" i="1"/>
  <c r="K12" i="1"/>
  <c r="K6" i="1"/>
  <c r="K17" i="1"/>
  <c r="K16" i="1"/>
  <c r="K14" i="1"/>
  <c r="K4" i="1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F7" i="8" l="1"/>
  <c r="C7" i="8"/>
  <c r="E14" i="11"/>
  <c r="E15" i="11"/>
  <c r="C17" i="11"/>
  <c r="E6" i="12"/>
  <c r="E7" i="12"/>
  <c r="E8" i="12"/>
  <c r="E10" i="12"/>
  <c r="E9" i="12"/>
  <c r="E11" i="12"/>
  <c r="N3" i="1"/>
  <c r="K233" i="1"/>
  <c r="K118" i="1"/>
  <c r="K89" i="1"/>
  <c r="K281" i="1"/>
  <c r="M281" i="1" s="1"/>
  <c r="K280" i="1"/>
  <c r="M280" i="1" s="1"/>
  <c r="K279" i="1"/>
  <c r="M279" i="1" s="1"/>
  <c r="K278" i="1"/>
  <c r="M278" i="1" s="1"/>
  <c r="K277" i="1"/>
  <c r="M277" i="1" s="1"/>
  <c r="K276" i="1"/>
  <c r="M276" i="1" s="1"/>
  <c r="K275" i="1"/>
  <c r="M275" i="1" s="1"/>
  <c r="K274" i="1"/>
  <c r="M274" i="1" s="1"/>
  <c r="K273" i="1"/>
  <c r="M273" i="1" s="1"/>
  <c r="K272" i="1"/>
  <c r="M272" i="1" s="1"/>
  <c r="K271" i="1"/>
  <c r="M271" i="1" s="1"/>
  <c r="K270" i="1"/>
  <c r="M270" i="1" s="1"/>
  <c r="K269" i="1"/>
  <c r="M269" i="1" s="1"/>
  <c r="K268" i="1"/>
  <c r="M268" i="1" s="1"/>
  <c r="K267" i="1"/>
  <c r="M267" i="1" s="1"/>
  <c r="K266" i="1"/>
  <c r="M266" i="1" s="1"/>
  <c r="K265" i="1"/>
  <c r="M265" i="1" s="1"/>
  <c r="K264" i="1"/>
  <c r="M264" i="1" s="1"/>
  <c r="K263" i="1"/>
  <c r="M263" i="1" s="1"/>
  <c r="K262" i="1"/>
  <c r="M262" i="1" s="1"/>
  <c r="K261" i="1"/>
  <c r="M261" i="1" s="1"/>
  <c r="K260" i="1"/>
  <c r="M260" i="1" s="1"/>
  <c r="K259" i="1"/>
  <c r="M259" i="1" s="1"/>
  <c r="K258" i="1"/>
  <c r="M258" i="1" s="1"/>
  <c r="K257" i="1"/>
  <c r="M257" i="1" s="1"/>
  <c r="K256" i="1"/>
  <c r="M256" i="1" s="1"/>
  <c r="K255" i="1"/>
  <c r="M255" i="1" s="1"/>
  <c r="K254" i="1"/>
  <c r="M254" i="1" s="1"/>
  <c r="K253" i="1"/>
  <c r="M253" i="1" s="1"/>
  <c r="K252" i="1"/>
  <c r="M252" i="1" s="1"/>
  <c r="K251" i="1"/>
  <c r="M251" i="1" s="1"/>
  <c r="K250" i="1"/>
  <c r="M250" i="1" s="1"/>
  <c r="K249" i="1"/>
  <c r="M249" i="1" s="1"/>
  <c r="K248" i="1"/>
  <c r="M248" i="1" s="1"/>
  <c r="K247" i="1"/>
  <c r="M247" i="1" s="1"/>
  <c r="K246" i="1"/>
  <c r="M246" i="1" s="1"/>
  <c r="K245" i="1"/>
  <c r="M245" i="1" s="1"/>
  <c r="K244" i="1"/>
  <c r="M244" i="1" s="1"/>
  <c r="K243" i="1"/>
  <c r="M243" i="1" s="1"/>
  <c r="K242" i="1"/>
  <c r="M242" i="1" s="1"/>
  <c r="K241" i="1"/>
  <c r="M241" i="1" s="1"/>
  <c r="K240" i="1"/>
  <c r="M240" i="1" s="1"/>
  <c r="K239" i="1"/>
  <c r="M239" i="1" s="1"/>
  <c r="K238" i="1"/>
  <c r="M238" i="1" s="1"/>
  <c r="K237" i="1"/>
  <c r="M237" i="1" s="1"/>
  <c r="K236" i="1"/>
  <c r="M236" i="1" s="1"/>
  <c r="K235" i="1"/>
  <c r="M235" i="1" s="1"/>
  <c r="K234" i="1"/>
  <c r="M234" i="1" s="1"/>
  <c r="K63" i="1"/>
  <c r="K232" i="1"/>
  <c r="M232" i="1" s="1"/>
  <c r="K231" i="1"/>
  <c r="M231" i="1" s="1"/>
  <c r="K230" i="1"/>
  <c r="M230" i="1" s="1"/>
  <c r="K229" i="1"/>
  <c r="M229" i="1" s="1"/>
  <c r="K228" i="1"/>
  <c r="M228" i="1" s="1"/>
  <c r="K227" i="1"/>
  <c r="M227" i="1" s="1"/>
  <c r="K226" i="1"/>
  <c r="M226" i="1" s="1"/>
  <c r="K225" i="1"/>
  <c r="M225" i="1" s="1"/>
  <c r="K224" i="1"/>
  <c r="M224" i="1" s="1"/>
  <c r="K223" i="1"/>
  <c r="M223" i="1" s="1"/>
  <c r="K222" i="1"/>
  <c r="M222" i="1" s="1"/>
  <c r="K221" i="1"/>
  <c r="M221" i="1" s="1"/>
  <c r="K220" i="1"/>
  <c r="M220" i="1" s="1"/>
  <c r="K219" i="1"/>
  <c r="M219" i="1" s="1"/>
  <c r="K218" i="1"/>
  <c r="M218" i="1" s="1"/>
  <c r="K217" i="1"/>
  <c r="M217" i="1" s="1"/>
  <c r="K216" i="1"/>
  <c r="M216" i="1" s="1"/>
  <c r="K215" i="1"/>
  <c r="M215" i="1" s="1"/>
  <c r="K214" i="1"/>
  <c r="M214" i="1" s="1"/>
  <c r="K213" i="1"/>
  <c r="M213" i="1" s="1"/>
  <c r="K212" i="1"/>
  <c r="M212" i="1" s="1"/>
  <c r="K211" i="1"/>
  <c r="M211" i="1" s="1"/>
  <c r="K210" i="1"/>
  <c r="M210" i="1" s="1"/>
  <c r="K209" i="1"/>
  <c r="M209" i="1" s="1"/>
  <c r="K208" i="1"/>
  <c r="M208" i="1" s="1"/>
  <c r="K207" i="1"/>
  <c r="M207" i="1" s="1"/>
  <c r="K206" i="1"/>
  <c r="M206" i="1" s="1"/>
  <c r="K205" i="1"/>
  <c r="M205" i="1" s="1"/>
  <c r="K178" i="1"/>
  <c r="M178" i="1" s="1"/>
  <c r="K176" i="1"/>
  <c r="M176" i="1" s="1"/>
  <c r="K149" i="1"/>
  <c r="M149" i="1" s="1"/>
  <c r="K148" i="1"/>
  <c r="M148" i="1" s="1"/>
  <c r="K204" i="1"/>
  <c r="M204" i="1" s="1"/>
  <c r="K203" i="1"/>
  <c r="M203" i="1" s="1"/>
  <c r="K202" i="1"/>
  <c r="M202" i="1" s="1"/>
  <c r="K201" i="1"/>
  <c r="M201" i="1" s="1"/>
  <c r="K200" i="1"/>
  <c r="M200" i="1" s="1"/>
  <c r="K199" i="1"/>
  <c r="M199" i="1" s="1"/>
  <c r="K198" i="1"/>
  <c r="M198" i="1" s="1"/>
  <c r="K197" i="1"/>
  <c r="M197" i="1" s="1"/>
  <c r="K196" i="1"/>
  <c r="M196" i="1" s="1"/>
  <c r="K195" i="1"/>
  <c r="M195" i="1" s="1"/>
  <c r="K194" i="1"/>
  <c r="M194" i="1" s="1"/>
  <c r="K193" i="1"/>
  <c r="M193" i="1" s="1"/>
  <c r="K192" i="1"/>
  <c r="M192" i="1" s="1"/>
  <c r="K191" i="1"/>
  <c r="M191" i="1" s="1"/>
  <c r="K190" i="1"/>
  <c r="M190" i="1" s="1"/>
  <c r="K189" i="1"/>
  <c r="M189" i="1" s="1"/>
  <c r="K188" i="1"/>
  <c r="M188" i="1" s="1"/>
  <c r="K187" i="1"/>
  <c r="M187" i="1" s="1"/>
  <c r="K186" i="1"/>
  <c r="M186" i="1" s="1"/>
  <c r="K185" i="1"/>
  <c r="M185" i="1" s="1"/>
  <c r="K184" i="1"/>
  <c r="M184" i="1" s="1"/>
  <c r="K183" i="1"/>
  <c r="M183" i="1" s="1"/>
  <c r="K182" i="1"/>
  <c r="M182" i="1" s="1"/>
  <c r="K181" i="1"/>
  <c r="M181" i="1" s="1"/>
  <c r="K180" i="1"/>
  <c r="M180" i="1" s="1"/>
  <c r="K179" i="1"/>
  <c r="M179" i="1" s="1"/>
  <c r="K177" i="1"/>
  <c r="M177" i="1" s="1"/>
  <c r="K175" i="1"/>
  <c r="M175" i="1" s="1"/>
  <c r="K174" i="1"/>
  <c r="M174" i="1" s="1"/>
  <c r="K173" i="1"/>
  <c r="M173" i="1" s="1"/>
  <c r="K172" i="1"/>
  <c r="M172" i="1" s="1"/>
  <c r="K171" i="1"/>
  <c r="M171" i="1" s="1"/>
  <c r="K170" i="1"/>
  <c r="M170" i="1" s="1"/>
  <c r="K169" i="1"/>
  <c r="M169" i="1" s="1"/>
  <c r="K168" i="1"/>
  <c r="M168" i="1" s="1"/>
  <c r="K167" i="1"/>
  <c r="M167" i="1" s="1"/>
  <c r="K166" i="1"/>
  <c r="M166" i="1" s="1"/>
  <c r="K165" i="1"/>
  <c r="M165" i="1" s="1"/>
  <c r="K164" i="1"/>
  <c r="M164" i="1" s="1"/>
  <c r="K163" i="1"/>
  <c r="M163" i="1" s="1"/>
  <c r="K162" i="1"/>
  <c r="M162" i="1" s="1"/>
  <c r="K161" i="1"/>
  <c r="M161" i="1" s="1"/>
  <c r="K160" i="1"/>
  <c r="M160" i="1" s="1"/>
  <c r="K159" i="1"/>
  <c r="M159" i="1" s="1"/>
  <c r="K158" i="1"/>
  <c r="M158" i="1" s="1"/>
  <c r="K157" i="1"/>
  <c r="M157" i="1" s="1"/>
  <c r="K156" i="1"/>
  <c r="M156" i="1" s="1"/>
  <c r="K155" i="1"/>
  <c r="M155" i="1" s="1"/>
  <c r="K154" i="1"/>
  <c r="M154" i="1" s="1"/>
  <c r="K153" i="1"/>
  <c r="M153" i="1" s="1"/>
  <c r="K152" i="1"/>
  <c r="M152" i="1" s="1"/>
  <c r="K151" i="1"/>
  <c r="M151" i="1" s="1"/>
  <c r="K150" i="1"/>
  <c r="M150" i="1" s="1"/>
  <c r="K147" i="1"/>
  <c r="M147" i="1" s="1"/>
  <c r="K62" i="1"/>
  <c r="M62" i="1" s="1"/>
  <c r="K146" i="1"/>
  <c r="M146" i="1" s="1"/>
  <c r="K145" i="1"/>
  <c r="M145" i="1" s="1"/>
  <c r="K144" i="1"/>
  <c r="M144" i="1" s="1"/>
  <c r="K143" i="1"/>
  <c r="M143" i="1" s="1"/>
  <c r="K142" i="1"/>
  <c r="M142" i="1" s="1"/>
  <c r="K141" i="1"/>
  <c r="M141" i="1" s="1"/>
  <c r="K140" i="1"/>
  <c r="M140" i="1" s="1"/>
  <c r="K139" i="1"/>
  <c r="M139" i="1" s="1"/>
  <c r="K138" i="1"/>
  <c r="M138" i="1" s="1"/>
  <c r="K137" i="1"/>
  <c r="M137" i="1" s="1"/>
  <c r="K136" i="1"/>
  <c r="M136" i="1" s="1"/>
  <c r="K135" i="1"/>
  <c r="M135" i="1" s="1"/>
  <c r="K134" i="1"/>
  <c r="M134" i="1" s="1"/>
  <c r="K133" i="1"/>
  <c r="M133" i="1" s="1"/>
  <c r="K132" i="1"/>
  <c r="M132" i="1" s="1"/>
  <c r="K131" i="1"/>
  <c r="M131" i="1" s="1"/>
  <c r="K130" i="1"/>
  <c r="M130" i="1" s="1"/>
  <c r="K129" i="1"/>
  <c r="M129" i="1" s="1"/>
  <c r="K128" i="1"/>
  <c r="M128" i="1" s="1"/>
  <c r="K127" i="1"/>
  <c r="M127" i="1" s="1"/>
  <c r="K126" i="1"/>
  <c r="M126" i="1" s="1"/>
  <c r="K125" i="1"/>
  <c r="M125" i="1" s="1"/>
  <c r="K124" i="1"/>
  <c r="M124" i="1" s="1"/>
  <c r="K123" i="1"/>
  <c r="M123" i="1" s="1"/>
  <c r="K122" i="1"/>
  <c r="M122" i="1" s="1"/>
  <c r="K121" i="1"/>
  <c r="M121" i="1" s="1"/>
  <c r="K120" i="1"/>
  <c r="M120" i="1" s="1"/>
  <c r="K119" i="1"/>
  <c r="M119" i="1" s="1"/>
  <c r="K96" i="1"/>
  <c r="M96" i="1" s="1"/>
  <c r="K92" i="1"/>
  <c r="M92" i="1" s="1"/>
  <c r="K90" i="1"/>
  <c r="K117" i="1"/>
  <c r="M117" i="1" s="1"/>
  <c r="K116" i="1"/>
  <c r="M116" i="1" s="1"/>
  <c r="K115" i="1"/>
  <c r="M115" i="1" s="1"/>
  <c r="K114" i="1"/>
  <c r="M114" i="1" s="1"/>
  <c r="K113" i="1"/>
  <c r="M113" i="1" s="1"/>
  <c r="K112" i="1"/>
  <c r="M112" i="1" s="1"/>
  <c r="K111" i="1"/>
  <c r="M111" i="1" s="1"/>
  <c r="K110" i="1"/>
  <c r="M110" i="1" s="1"/>
  <c r="K109" i="1"/>
  <c r="M109" i="1" s="1"/>
  <c r="K108" i="1"/>
  <c r="M108" i="1" s="1"/>
  <c r="K107" i="1"/>
  <c r="M107" i="1" s="1"/>
  <c r="K106" i="1"/>
  <c r="M106" i="1" s="1"/>
  <c r="K105" i="1"/>
  <c r="M105" i="1" s="1"/>
  <c r="K104" i="1"/>
  <c r="M104" i="1" s="1"/>
  <c r="K103" i="1"/>
  <c r="M103" i="1" s="1"/>
  <c r="K102" i="1"/>
  <c r="M102" i="1" s="1"/>
  <c r="K101" i="1"/>
  <c r="M101" i="1" s="1"/>
  <c r="K100" i="1"/>
  <c r="M100" i="1" s="1"/>
  <c r="K99" i="1"/>
  <c r="M99" i="1" s="1"/>
  <c r="K98" i="1"/>
  <c r="M98" i="1" s="1"/>
  <c r="K97" i="1"/>
  <c r="M97" i="1" s="1"/>
  <c r="K95" i="1"/>
  <c r="M95" i="1" s="1"/>
  <c r="K94" i="1"/>
  <c r="M94" i="1" s="1"/>
  <c r="K93" i="1"/>
  <c r="M93" i="1" s="1"/>
  <c r="K91" i="1"/>
  <c r="M91" i="1" s="1"/>
  <c r="K88" i="1"/>
  <c r="M88" i="1" s="1"/>
  <c r="K87" i="1"/>
  <c r="M87" i="1" s="1"/>
  <c r="K86" i="1"/>
  <c r="M86" i="1" s="1"/>
  <c r="K85" i="1"/>
  <c r="M85" i="1" s="1"/>
  <c r="K84" i="1"/>
  <c r="M84" i="1" s="1"/>
  <c r="K83" i="1"/>
  <c r="M83" i="1" s="1"/>
  <c r="K82" i="1"/>
  <c r="M82" i="1" s="1"/>
  <c r="K81" i="1"/>
  <c r="K80" i="1"/>
  <c r="M80" i="1" s="1"/>
  <c r="K79" i="1"/>
  <c r="M79" i="1" s="1"/>
  <c r="K78" i="1"/>
  <c r="K77" i="1"/>
  <c r="M77" i="1" s="1"/>
  <c r="K76" i="1"/>
  <c r="M76" i="1" s="1"/>
  <c r="K75" i="1"/>
  <c r="M75" i="1" s="1"/>
  <c r="K74" i="1"/>
  <c r="M74" i="1" s="1"/>
  <c r="K73" i="1"/>
  <c r="M73" i="1" s="1"/>
  <c r="K72" i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K65" i="1"/>
  <c r="K64" i="1"/>
  <c r="M64" i="1" s="1"/>
  <c r="K61" i="1"/>
  <c r="M61" i="1" s="1"/>
  <c r="K60" i="1"/>
  <c r="M60" i="1" s="1"/>
  <c r="K59" i="1"/>
  <c r="M59" i="1" s="1"/>
  <c r="K58" i="1"/>
  <c r="M58" i="1" s="1"/>
  <c r="M57" i="1"/>
  <c r="K56" i="1"/>
  <c r="M56" i="1" s="1"/>
  <c r="K55" i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K48" i="1"/>
  <c r="K47" i="1"/>
  <c r="M47" i="1" s="1"/>
  <c r="K46" i="1"/>
  <c r="M45" i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K36" i="1"/>
  <c r="M36" i="1" s="1"/>
  <c r="K35" i="1"/>
  <c r="M35" i="1" s="1"/>
  <c r="K34" i="1"/>
  <c r="M34" i="1" s="1"/>
  <c r="K33" i="1"/>
  <c r="M33" i="1" s="1"/>
  <c r="K32" i="1"/>
  <c r="K31" i="1"/>
  <c r="M31" i="1" s="1"/>
  <c r="K30" i="1"/>
  <c r="M30" i="1" s="1"/>
  <c r="K29" i="1"/>
  <c r="K28" i="1"/>
  <c r="M28" i="1" s="1"/>
  <c r="K27" i="1"/>
  <c r="M27" i="1" s="1"/>
  <c r="K26" i="1"/>
  <c r="K25" i="1"/>
  <c r="K24" i="1"/>
  <c r="M24" i="1" s="1"/>
  <c r="K23" i="1"/>
  <c r="K22" i="1"/>
  <c r="K21" i="1"/>
  <c r="K20" i="1"/>
  <c r="M20" i="1" s="1"/>
  <c r="K19" i="1"/>
  <c r="K18" i="1"/>
  <c r="M17" i="1"/>
  <c r="K15" i="1"/>
  <c r="K13" i="1"/>
  <c r="E17" i="11" l="1"/>
  <c r="M233" i="1"/>
  <c r="M118" i="1"/>
  <c r="M89" i="1"/>
  <c r="M63" i="1"/>
  <c r="M90" i="1"/>
  <c r="M81" i="1"/>
  <c r="M78" i="1"/>
  <c r="M65" i="1"/>
  <c r="M55" i="1"/>
  <c r="M48" i="1"/>
  <c r="M46" i="1"/>
  <c r="M37" i="1"/>
  <c r="M32" i="1"/>
  <c r="M29" i="1"/>
  <c r="M26" i="1"/>
  <c r="M25" i="1"/>
  <c r="M23" i="1"/>
  <c r="M22" i="1"/>
  <c r="M21" i="1"/>
  <c r="M19" i="1"/>
  <c r="M18" i="1"/>
  <c r="M16" i="1"/>
  <c r="M15" i="1"/>
  <c r="M14" i="1"/>
  <c r="M13" i="1"/>
  <c r="M12" i="1"/>
  <c r="M10" i="1"/>
  <c r="M9" i="1"/>
  <c r="M8" i="1"/>
  <c r="M7" i="1"/>
  <c r="M6" i="1"/>
  <c r="M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<sst xmlns="http://schemas.openxmlformats.org/spreadsheetml/2006/main" count="1901" uniqueCount="666">
  <si>
    <t>TECHPERU S.A.C. — REGISTRO DE VENTAS 2024</t>
  </si>
  <si>
    <t>ID_Venta</t>
  </si>
  <si>
    <t>Fecha</t>
  </si>
  <si>
    <t>Vendedor</t>
  </si>
  <si>
    <t>Región</t>
  </si>
  <si>
    <t>Categoría</t>
  </si>
  <si>
    <t>Producto</t>
  </si>
  <si>
    <t>Cantidad</t>
  </si>
  <si>
    <t>Precio_Unit</t>
  </si>
  <si>
    <t>Descuento</t>
  </si>
  <si>
    <t>Ingreso_Bruto</t>
  </si>
  <si>
    <t>Ingreso_Neto</t>
  </si>
  <si>
    <t>Costo_Unit</t>
  </si>
  <si>
    <t>Ganancia</t>
  </si>
  <si>
    <t>V-0001</t>
  </si>
  <si>
    <t>2024-01-04</t>
  </si>
  <si>
    <t>Diego Mora</t>
  </si>
  <si>
    <t>Lima Este</t>
  </si>
  <si>
    <t>Laptops</t>
  </si>
  <si>
    <t>HP Pavilion 15</t>
  </si>
  <si>
    <t>V-0002</t>
  </si>
  <si>
    <t>2024-01-08</t>
  </si>
  <si>
    <t>Sofía Luna</t>
  </si>
  <si>
    <t>Lima Centro</t>
  </si>
  <si>
    <t>Redes</t>
  </si>
  <si>
    <t>Router TP-Link</t>
  </si>
  <si>
    <t>V-0003</t>
  </si>
  <si>
    <t>2024-01-14</t>
  </si>
  <si>
    <t>Lima Sur</t>
  </si>
  <si>
    <t>V-0004</t>
  </si>
  <si>
    <t>2024-01-06</t>
  </si>
  <si>
    <t>Monitores</t>
  </si>
  <si>
    <t>BenQ 22"</t>
  </si>
  <si>
    <t>V-0005</t>
  </si>
  <si>
    <t>2024-01-13</t>
  </si>
  <si>
    <t>Lucía Vega</t>
  </si>
  <si>
    <t>Software</t>
  </si>
  <si>
    <t>AutoCAD 2024</t>
  </si>
  <si>
    <t>V-0006</t>
  </si>
  <si>
    <t>2024-01-18</t>
  </si>
  <si>
    <t>Callao</t>
  </si>
  <si>
    <t>Dell Inspiron</t>
  </si>
  <si>
    <t>V-0007</t>
  </si>
  <si>
    <t>2024-01-28</t>
  </si>
  <si>
    <t>Ana Torres</t>
  </si>
  <si>
    <t>Asus VivoBook</t>
  </si>
  <si>
    <t>V-0008</t>
  </si>
  <si>
    <t>2024-01-10</t>
  </si>
  <si>
    <t>Lima Norte</t>
  </si>
  <si>
    <t>Periféricos</t>
  </si>
  <si>
    <t>Mouse Gamer</t>
  </si>
  <si>
    <t>V-0009</t>
  </si>
  <si>
    <t>2024-01-12</t>
  </si>
  <si>
    <t>Lenovo IdeaPad</t>
  </si>
  <si>
    <t>V-0010</t>
  </si>
  <si>
    <t>2024-01-22</t>
  </si>
  <si>
    <t>Dell UltraSharp</t>
  </si>
  <si>
    <t>V-0011</t>
  </si>
  <si>
    <t>2024-01-09</t>
  </si>
  <si>
    <t>Provincias</t>
  </si>
  <si>
    <t>V-0012</t>
  </si>
  <si>
    <t>2024-01-02</t>
  </si>
  <si>
    <t>Switch 8 puertos</t>
  </si>
  <si>
    <t>V-0013</t>
  </si>
  <si>
    <t>2024-01-11</t>
  </si>
  <si>
    <t>Webcam Logitech</t>
  </si>
  <si>
    <t>V-0014</t>
  </si>
  <si>
    <t>Miguel Paz</t>
  </si>
  <si>
    <t>V-0015</t>
  </si>
  <si>
    <t>Cable UTP x100m</t>
  </si>
  <si>
    <t>V-0016</t>
  </si>
  <si>
    <t>V-0017</t>
  </si>
  <si>
    <t>Office 365 Anual</t>
  </si>
  <si>
    <t>V-0018</t>
  </si>
  <si>
    <t>V-0019</t>
  </si>
  <si>
    <t>2024-01-24</t>
  </si>
  <si>
    <t>V-0020</t>
  </si>
  <si>
    <t>2024-01-21</t>
  </si>
  <si>
    <t>V-0021</t>
  </si>
  <si>
    <t>2024-01-25</t>
  </si>
  <si>
    <t>Carlos Ríos</t>
  </si>
  <si>
    <t>V-0022</t>
  </si>
  <si>
    <t>V-0023</t>
  </si>
  <si>
    <t>2024-01-03</t>
  </si>
  <si>
    <t>V-0024</t>
  </si>
  <si>
    <t>V-0025</t>
  </si>
  <si>
    <t>V-0026</t>
  </si>
  <si>
    <t>2024-01-17</t>
  </si>
  <si>
    <t>V-0027</t>
  </si>
  <si>
    <t>V-0028</t>
  </si>
  <si>
    <t>LG 27"</t>
  </si>
  <si>
    <t>V-0029</t>
  </si>
  <si>
    <t>2024-02-18</t>
  </si>
  <si>
    <t>Teclado Logitech</t>
  </si>
  <si>
    <t>V-0030</t>
  </si>
  <si>
    <t>2024-02-04</t>
  </si>
  <si>
    <t>V-0031</t>
  </si>
  <si>
    <t>2024-02-21</t>
  </si>
  <si>
    <t>V-0032</t>
  </si>
  <si>
    <t>2024-02-07</t>
  </si>
  <si>
    <t>V-0033</t>
  </si>
  <si>
    <t>2024-02-28</t>
  </si>
  <si>
    <t>Access Point</t>
  </si>
  <si>
    <t>V-0034</t>
  </si>
  <si>
    <t>2024-02-27</t>
  </si>
  <si>
    <t>V-0035</t>
  </si>
  <si>
    <t>V-0036</t>
  </si>
  <si>
    <t>2024-02-26</t>
  </si>
  <si>
    <t>V-0037</t>
  </si>
  <si>
    <t>2024-02-16</t>
  </si>
  <si>
    <t>V-0038</t>
  </si>
  <si>
    <t>2024-02-02</t>
  </si>
  <si>
    <t>V-0039</t>
  </si>
  <si>
    <t>2024-02-17</t>
  </si>
  <si>
    <t>V-0040</t>
  </si>
  <si>
    <t>2024-02-03</t>
  </si>
  <si>
    <t>Samsung 24"</t>
  </si>
  <si>
    <t>V-0041</t>
  </si>
  <si>
    <t>2024-02-20</t>
  </si>
  <si>
    <t>V-0042</t>
  </si>
  <si>
    <t>2024-02-09</t>
  </si>
  <si>
    <t>V-0043</t>
  </si>
  <si>
    <t>2024-02-10</t>
  </si>
  <si>
    <t>V-0044</t>
  </si>
  <si>
    <t>V-0045</t>
  </si>
  <si>
    <t>2024-02-08</t>
  </si>
  <si>
    <t>V-0046</t>
  </si>
  <si>
    <t>Auriculares Sony</t>
  </si>
  <si>
    <t>V-0047</t>
  </si>
  <si>
    <t>2024-03-05</t>
  </si>
  <si>
    <t>V-0048</t>
  </si>
  <si>
    <t>2024-03-20</t>
  </si>
  <si>
    <t>V-0049</t>
  </si>
  <si>
    <t>2024-03-09</t>
  </si>
  <si>
    <t>V-0050</t>
  </si>
  <si>
    <t>2024-03-11</t>
  </si>
  <si>
    <t>V-0051</t>
  </si>
  <si>
    <t>2024-03-18</t>
  </si>
  <si>
    <t>V-0052</t>
  </si>
  <si>
    <t>2024-03-27</t>
  </si>
  <si>
    <t>V-0053</t>
  </si>
  <si>
    <t>2024-03-26</t>
  </si>
  <si>
    <t>V-0054</t>
  </si>
  <si>
    <t>2024-03-25</t>
  </si>
  <si>
    <t>V-0055</t>
  </si>
  <si>
    <t>V-0056</t>
  </si>
  <si>
    <t>2024-03-14</t>
  </si>
  <si>
    <t>V-0057</t>
  </si>
  <si>
    <t>2024-03-28</t>
  </si>
  <si>
    <t>V-0058</t>
  </si>
  <si>
    <t>Antivirus Kaspersky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</si>
  <si>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</si>
  <si>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</si>
  <si>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</si>
  <si>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</si>
  <si>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</si>
  <si>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</si>
  <si>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</si>
  <si>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</si>
  <si>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2024-03-13</t>
  </si>
  <si>
    <t>V-0067</t>
  </si>
  <si>
    <t>2024-03-07</t>
  </si>
  <si>
    <t>V-0068</t>
  </si>
  <si>
    <t>2024-03-16</t>
  </si>
  <si>
    <t>V-0069</t>
  </si>
  <si>
    <t>2024-03-03</t>
  </si>
  <si>
    <t>V-0070</t>
  </si>
  <si>
    <t>V-0071</t>
  </si>
  <si>
    <t>2024-03-23</t>
  </si>
  <si>
    <t>V-0072</t>
  </si>
  <si>
    <t>Adobe CC</t>
  </si>
  <si>
    <t>V-0073</t>
  </si>
  <si>
    <t>2024-03-02</t>
  </si>
  <si>
    <t>V-0074</t>
  </si>
  <si>
    <t>V-0075</t>
  </si>
  <si>
    <t>2024-04-18</t>
  </si>
  <si>
    <t>V-0076</t>
  </si>
  <si>
    <t>2024-04-27</t>
  </si>
  <si>
    <t>V-0077</t>
  </si>
  <si>
    <t>2024-04-10</t>
  </si>
  <si>
    <t>V-0078</t>
  </si>
  <si>
    <t>2024-04-05</t>
  </si>
  <si>
    <t>V-0079</t>
  </si>
  <si>
    <t>2024-04-14</t>
  </si>
  <si>
    <t>V-0080</t>
  </si>
  <si>
    <t>2024-04-25</t>
  </si>
  <si>
    <t>V-0081</t>
  </si>
  <si>
    <t>V-0082</t>
  </si>
  <si>
    <t>2024-04-08</t>
  </si>
  <si>
    <t>V-0083</t>
  </si>
  <si>
    <t>2024-04-22</t>
  </si>
  <si>
    <t>V-0084</t>
  </si>
  <si>
    <t>2024-04-13</t>
  </si>
  <si>
    <t>V-0085</t>
  </si>
  <si>
    <t>2024-04-06</t>
  </si>
  <si>
    <t>V-0086</t>
  </si>
  <si>
    <t>V-0087</t>
  </si>
  <si>
    <t>2024-04-24</t>
  </si>
  <si>
    <t>V-0088</t>
  </si>
  <si>
    <t>2024-04-21</t>
  </si>
  <si>
    <t>V-0089</t>
  </si>
  <si>
    <t>V-0090</t>
  </si>
  <si>
    <t>2024-04-09</t>
  </si>
  <si>
    <t>V-0091</t>
  </si>
  <si>
    <t>V-0092</t>
  </si>
  <si>
    <t>V-0093</t>
  </si>
  <si>
    <t>2024-04-23</t>
  </si>
  <si>
    <t>V-0094</t>
  </si>
  <si>
    <t>2024-04-12</t>
  </si>
  <si>
    <t>V-0095</t>
  </si>
  <si>
    <t>V-0096</t>
  </si>
  <si>
    <t>V-0097</t>
  </si>
  <si>
    <t>2024-04-11</t>
  </si>
  <si>
    <t>V-0098</t>
  </si>
  <si>
    <t>V-0099</t>
  </si>
  <si>
    <t>2024-04-07</t>
  </si>
  <si>
    <t>V-0100</t>
  </si>
  <si>
    <t>V-0101</t>
  </si>
  <si>
    <t>2024-04-16</t>
  </si>
  <si>
    <t>V-0102</t>
  </si>
  <si>
    <t>2024-05-03</t>
  </si>
  <si>
    <t>V-0103</t>
  </si>
  <si>
    <t>2024-05-12</t>
  </si>
  <si>
    <t>V-0104</t>
  </si>
  <si>
    <t>2024-05-15</t>
  </si>
  <si>
    <t>V-0105</t>
  </si>
  <si>
    <t>2024-05-04</t>
  </si>
  <si>
    <t>V-0106</t>
  </si>
  <si>
    <t>2024-05-19</t>
  </si>
  <si>
    <t>V-0107</t>
  </si>
  <si>
    <t>2024-05-10</t>
  </si>
  <si>
    <t>V-0108</t>
  </si>
  <si>
    <t>2024-05-05</t>
  </si>
  <si>
    <t>V-0109</t>
  </si>
  <si>
    <t>2024-05-11</t>
  </si>
  <si>
    <t>V-0110</t>
  </si>
  <si>
    <t>V-0111</t>
  </si>
  <si>
    <t>V-0112</t>
  </si>
  <si>
    <t>2024-05-08</t>
  </si>
  <si>
    <t>V-0113</t>
  </si>
  <si>
    <t>V-0114</t>
  </si>
  <si>
    <t>2024-05-09</t>
  </si>
  <si>
    <t>V-0115</t>
  </si>
  <si>
    <t>2024-05-14</t>
  </si>
  <si>
    <t>V-0116</t>
  </si>
  <si>
    <t>2024-05-23</t>
  </si>
  <si>
    <t>V-0117</t>
  </si>
  <si>
    <t>2024-05-21</t>
  </si>
  <si>
    <t>V-0118</t>
  </si>
  <si>
    <t>V-0119</t>
  </si>
  <si>
    <t>2024-05-27</t>
  </si>
  <si>
    <t>V-0120</t>
  </si>
  <si>
    <t>2024-05-13</t>
  </si>
  <si>
    <t>V-0121</t>
  </si>
  <si>
    <t>2024-05-24</t>
  </si>
  <si>
    <t>V-0122</t>
  </si>
  <si>
    <t>V-0123</t>
  </si>
  <si>
    <t>2024-05-06</t>
  </si>
  <si>
    <t>V-0124</t>
  </si>
  <si>
    <t>2024-05-16</t>
  </si>
  <si>
    <t>V-0125</t>
  </si>
  <si>
    <t>2024-05-28</t>
  </si>
  <si>
    <t>V-0126</t>
  </si>
  <si>
    <t>V-0127</t>
  </si>
  <si>
    <t>2024-05-25</t>
  </si>
  <si>
    <t>V-0128</t>
  </si>
  <si>
    <t>2024-06-17</t>
  </si>
  <si>
    <t>V-0129</t>
  </si>
  <si>
    <t>2024-06-18</t>
  </si>
  <si>
    <t>V-0130</t>
  </si>
  <si>
    <t>2024-06-21</t>
  </si>
  <si>
    <t>V-0131</t>
  </si>
  <si>
    <t>2024-06-14</t>
  </si>
  <si>
    <t>V-0132</t>
  </si>
  <si>
    <t>2024-06-16</t>
  </si>
  <si>
    <t>V-0133</t>
  </si>
  <si>
    <t>2024-06-05</t>
  </si>
  <si>
    <t>V-0134</t>
  </si>
  <si>
    <t>2024-06-09</t>
  </si>
  <si>
    <t>V-0135</t>
  </si>
  <si>
    <t>2024-06-10</t>
  </si>
  <si>
    <t>V-0136</t>
  </si>
  <si>
    <t>V-0137</t>
  </si>
  <si>
    <t>2024-06-08</t>
  </si>
  <si>
    <t>V-0138</t>
  </si>
  <si>
    <t>2024-06-23</t>
  </si>
  <si>
    <t>V-0139</t>
  </si>
  <si>
    <t>V-0140</t>
  </si>
  <si>
    <t>2024-06-01</t>
  </si>
  <si>
    <t>V-0141</t>
  </si>
  <si>
    <t>V-0142</t>
  </si>
  <si>
    <t>2024-06-28</t>
  </si>
  <si>
    <t>V-0143</t>
  </si>
  <si>
    <t>2024-06-02</t>
  </si>
  <si>
    <t>V-0144</t>
  </si>
  <si>
    <t>2024-06-24</t>
  </si>
  <si>
    <t>V-0145</t>
  </si>
  <si>
    <t>V-0146</t>
  </si>
  <si>
    <t>2024-06-12</t>
  </si>
  <si>
    <t>V-0147</t>
  </si>
  <si>
    <t>2024-06-06</t>
  </si>
  <si>
    <t>V-0148</t>
  </si>
  <si>
    <t>V-0149</t>
  </si>
  <si>
    <t>2024-06-22</t>
  </si>
  <si>
    <t>V-0150</t>
  </si>
  <si>
    <t>V-0151</t>
  </si>
  <si>
    <t>V-0152</t>
  </si>
  <si>
    <t>2024-07-10</t>
  </si>
  <si>
    <t>V-0153</t>
  </si>
  <si>
    <t>2024-07-22</t>
  </si>
  <si>
    <t>V-0154</t>
  </si>
  <si>
    <t>2024-07-07</t>
  </si>
  <si>
    <t>V-0155</t>
  </si>
  <si>
    <t>2024-07-05</t>
  </si>
  <si>
    <t>V-0156</t>
  </si>
  <si>
    <t>V-0157</t>
  </si>
  <si>
    <t>2024-07-26</t>
  </si>
  <si>
    <t>V-0158</t>
  </si>
  <si>
    <t>2024-07-09</t>
  </si>
  <si>
    <t>V-0159</t>
  </si>
  <si>
    <t>2024-07-03</t>
  </si>
  <si>
    <t>V-0160</t>
  </si>
  <si>
    <t>V-0161</t>
  </si>
  <si>
    <t>2024-07-15</t>
  </si>
  <si>
    <t>V-0162</t>
  </si>
  <si>
    <t>2024-07-04</t>
  </si>
  <si>
    <t>V-0163</t>
  </si>
  <si>
    <t>2024-07-20</t>
  </si>
  <si>
    <t>V-0164</t>
  </si>
  <si>
    <t>2024-07-14</t>
  </si>
  <si>
    <t>V-0165</t>
  </si>
  <si>
    <t>2024-07-08</t>
  </si>
  <si>
    <t>V-0166</t>
  </si>
  <si>
    <t>2024-07-23</t>
  </si>
  <si>
    <t>V-0167</t>
  </si>
  <si>
    <t>2024-07-21</t>
  </si>
  <si>
    <t>V-0168</t>
  </si>
  <si>
    <t>V-0169</t>
  </si>
  <si>
    <t>V-0170</t>
  </si>
  <si>
    <t>2024-07-27</t>
  </si>
  <si>
    <t>V-0171</t>
  </si>
  <si>
    <t>2024-07-01</t>
  </si>
  <si>
    <t>V-0172</t>
  </si>
  <si>
    <t>V-0173</t>
  </si>
  <si>
    <t>2024-08-20</t>
  </si>
  <si>
    <t>V-0174</t>
  </si>
  <si>
    <t>2024-08-04</t>
  </si>
  <si>
    <t>V-0175</t>
  </si>
  <si>
    <t>2024-08-01</t>
  </si>
  <si>
    <t>V-0176</t>
  </si>
  <si>
    <t>2024-08-24</t>
  </si>
  <si>
    <t>V-0177</t>
  </si>
  <si>
    <t>2024-08-17</t>
  </si>
  <si>
    <t>V-0178</t>
  </si>
  <si>
    <t>V-0179</t>
  </si>
  <si>
    <t>2024-08-15</t>
  </si>
  <si>
    <t>V-0180</t>
  </si>
  <si>
    <t>V-0181</t>
  </si>
  <si>
    <t>V-0182</t>
  </si>
  <si>
    <t>2024-08-25</t>
  </si>
  <si>
    <t>V-0183</t>
  </si>
  <si>
    <t>2024-08-27</t>
  </si>
  <si>
    <t>V-0184</t>
  </si>
  <si>
    <t>2024-08-22</t>
  </si>
  <si>
    <t>V-0185</t>
  </si>
  <si>
    <t>V-0186</t>
  </si>
  <si>
    <t>2024-08-05</t>
  </si>
  <si>
    <t>V-0187</t>
  </si>
  <si>
    <t>2024-08-14</t>
  </si>
  <si>
    <t>V-0188</t>
  </si>
  <si>
    <t>V-0189</t>
  </si>
  <si>
    <t>2024-08-12</t>
  </si>
  <si>
    <t>V-0190</t>
  </si>
  <si>
    <t>2024-08-28</t>
  </si>
  <si>
    <t>V-0191</t>
  </si>
  <si>
    <t>2024-08-06</t>
  </si>
  <si>
    <t>V-0192</t>
  </si>
  <si>
    <t>2024-08-19</t>
  </si>
  <si>
    <t>V-0193</t>
  </si>
  <si>
    <t>V-0194</t>
  </si>
  <si>
    <t>V-0195</t>
  </si>
  <si>
    <t>2024-08-03</t>
  </si>
  <si>
    <t>V-0196</t>
  </si>
  <si>
    <t>2024-08-09</t>
  </si>
  <si>
    <t>V-0197</t>
  </si>
  <si>
    <t>V-0198</t>
  </si>
  <si>
    <t>2024-08-07</t>
  </si>
  <si>
    <t>V-0199</t>
  </si>
  <si>
    <t>2024-09-24</t>
  </si>
  <si>
    <t>V-0200</t>
  </si>
  <si>
    <t>2024-09-18</t>
  </si>
  <si>
    <t>V-0201</t>
  </si>
  <si>
    <t>2024-09-03</t>
  </si>
  <si>
    <t>V-0202</t>
  </si>
  <si>
    <t>2024-09-04</t>
  </si>
  <si>
    <t>V-0203</t>
  </si>
  <si>
    <t>2024-09-23</t>
  </si>
  <si>
    <t>V-0204</t>
  </si>
  <si>
    <t>2024-09-17</t>
  </si>
  <si>
    <t>V-0205</t>
  </si>
  <si>
    <t>2024-09-06</t>
  </si>
  <si>
    <t>V-0206</t>
  </si>
  <si>
    <t>2024-09-27</t>
  </si>
  <si>
    <t>V-0207</t>
  </si>
  <si>
    <t>2024-09-05</t>
  </si>
  <si>
    <t>V-0208</t>
  </si>
  <si>
    <t>2024-09-15</t>
  </si>
  <si>
    <t>V-0209</t>
  </si>
  <si>
    <t>V-0210</t>
  </si>
  <si>
    <t>V-0211</t>
  </si>
  <si>
    <t>2024-09-28</t>
  </si>
  <si>
    <t>V-0212</t>
  </si>
  <si>
    <t>V-0213</t>
  </si>
  <si>
    <t>2024-09-02</t>
  </si>
  <si>
    <t>V-0214</t>
  </si>
  <si>
    <t>V-0215</t>
  </si>
  <si>
    <t>2024-09-12</t>
  </si>
  <si>
    <t>V-0216</t>
  </si>
  <si>
    <t>2024-09-21</t>
  </si>
  <si>
    <t>V-0217</t>
  </si>
  <si>
    <t>2024-09-09</t>
  </si>
  <si>
    <t>V-0218</t>
  </si>
  <si>
    <t>V-0219</t>
  </si>
  <si>
    <t>2024-09-13</t>
  </si>
  <si>
    <t>V-0220</t>
  </si>
  <si>
    <t>V-0221</t>
  </si>
  <si>
    <t>2024-10-11</t>
  </si>
  <si>
    <t>V-0222</t>
  </si>
  <si>
    <t>2024-10-26</t>
  </si>
  <si>
    <t>V-0223</t>
  </si>
  <si>
    <t>2024-10-13</t>
  </si>
  <si>
    <t>V-0224</t>
  </si>
  <si>
    <t>2024-10-06</t>
  </si>
  <si>
    <t>V-0225</t>
  </si>
  <si>
    <t>2024-10-15</t>
  </si>
  <si>
    <t>V-0226</t>
  </si>
  <si>
    <t>V-0227</t>
  </si>
  <si>
    <t>2024-10-10</t>
  </si>
  <si>
    <t>V-0228</t>
  </si>
  <si>
    <t>2024-10-09</t>
  </si>
  <si>
    <t>V-0229</t>
  </si>
  <si>
    <t>2024-10-17</t>
  </si>
  <si>
    <t>V-0230</t>
  </si>
  <si>
    <t>2024-10-05</t>
  </si>
  <si>
    <t>V-0231</t>
  </si>
  <si>
    <t>2024-10-14</t>
  </si>
  <si>
    <t>V-0232</t>
  </si>
  <si>
    <t>2024-10-12</t>
  </si>
  <si>
    <t>V-0233</t>
  </si>
  <si>
    <t>V-0234</t>
  </si>
  <si>
    <t>V-0235</t>
  </si>
  <si>
    <t>2024-10-07</t>
  </si>
  <si>
    <t>V-0236</t>
  </si>
  <si>
    <t>2024-10-08</t>
  </si>
  <si>
    <t>V-0237</t>
  </si>
  <si>
    <t>2024-10-01</t>
  </si>
  <si>
    <t>V-0238</t>
  </si>
  <si>
    <t>V-0239</t>
  </si>
  <si>
    <t>V-0240</t>
  </si>
  <si>
    <t>2024-11-12</t>
  </si>
  <si>
    <t>V-0241</t>
  </si>
  <si>
    <t>2024-11-21</t>
  </si>
  <si>
    <t>V-0242</t>
  </si>
  <si>
    <t>V-0243</t>
  </si>
  <si>
    <t>2024-11-03</t>
  </si>
  <si>
    <t>V-0244</t>
  </si>
  <si>
    <t>2024-11-11</t>
  </si>
  <si>
    <t>V-0245</t>
  </si>
  <si>
    <t>2024-11-07</t>
  </si>
  <si>
    <t>V-0246</t>
  </si>
  <si>
    <t>V-0247</t>
  </si>
  <si>
    <t>2024-11-06</t>
  </si>
  <si>
    <t>V-0248</t>
  </si>
  <si>
    <t>V-0249</t>
  </si>
  <si>
    <t>2024-11-22</t>
  </si>
  <si>
    <t>V-0250</t>
  </si>
  <si>
    <t>2024-11-15</t>
  </si>
  <si>
    <t>V-0251</t>
  </si>
  <si>
    <t>2024-11-14</t>
  </si>
  <si>
    <t>V-0252</t>
  </si>
  <si>
    <t>2024-11-26</t>
  </si>
  <si>
    <t>V-0253</t>
  </si>
  <si>
    <t>V-0254</t>
  </si>
  <si>
    <t>V-0255</t>
  </si>
  <si>
    <t>2024-11-17</t>
  </si>
  <si>
    <t>V-0256</t>
  </si>
  <si>
    <t>2024-11-01</t>
  </si>
  <si>
    <t>V-0257</t>
  </si>
  <si>
    <t>2024-11-25</t>
  </si>
  <si>
    <t>V-0258</t>
  </si>
  <si>
    <t>2024-11-16</t>
  </si>
  <si>
    <t>V-0259</t>
  </si>
  <si>
    <t>2024-12-03</t>
  </si>
  <si>
    <t>V-0260</t>
  </si>
  <si>
    <t>2024-12-10</t>
  </si>
  <si>
    <t>V-0261</t>
  </si>
  <si>
    <t>2024-12-26</t>
  </si>
  <si>
    <t>V-0262</t>
  </si>
  <si>
    <t>2024-12-15</t>
  </si>
  <si>
    <t>V-0263</t>
  </si>
  <si>
    <t>2024-12-23</t>
  </si>
  <si>
    <t>V-0264</t>
  </si>
  <si>
    <t>2024-12-21</t>
  </si>
  <si>
    <t>V-0265</t>
  </si>
  <si>
    <t>2024-12-27</t>
  </si>
  <si>
    <t>V-0266</t>
  </si>
  <si>
    <t>2024-12-17</t>
  </si>
  <si>
    <t>V-0267</t>
  </si>
  <si>
    <t>V-0268</t>
  </si>
  <si>
    <t>V-0269</t>
  </si>
  <si>
    <t>2024-12-05</t>
  </si>
  <si>
    <t>V-0270</t>
  </si>
  <si>
    <t>V-0271</t>
  </si>
  <si>
    <t>V-0272</t>
  </si>
  <si>
    <t>2024-12-16</t>
  </si>
  <si>
    <t>V-0273</t>
  </si>
  <si>
    <t>V-0274</t>
  </si>
  <si>
    <t>2024-12-28</t>
  </si>
  <si>
    <t>V-0275</t>
  </si>
  <si>
    <t>2024-12-04</t>
  </si>
  <si>
    <t>V-0276</t>
  </si>
  <si>
    <t>V-0277</t>
  </si>
  <si>
    <t>2024-12-06</t>
  </si>
  <si>
    <t>V-0278</t>
  </si>
  <si>
    <t>V-0279</t>
  </si>
  <si>
    <t>2024-12-07</t>
  </si>
  <si>
    <t>TECHPERU S.A.C. — DIRECTORIO DE EMPLEADOS</t>
  </si>
  <si>
    <t>ID_Emp</t>
  </si>
  <si>
    <t>Nombre</t>
  </si>
  <si>
    <t>Apellido</t>
  </si>
  <si>
    <t>Departamento</t>
  </si>
  <si>
    <t>Cargo</t>
  </si>
  <si>
    <t>Fecha_Ingreso</t>
  </si>
  <si>
    <t>Salario_Base</t>
  </si>
  <si>
    <t>Bono_%</t>
  </si>
  <si>
    <t>Salario_Total</t>
  </si>
  <si>
    <t>E001</t>
  </si>
  <si>
    <t>Ana</t>
  </si>
  <si>
    <t>Torres</t>
  </si>
  <si>
    <t>Ventas</t>
  </si>
  <si>
    <t>Ejecutiva Senior</t>
  </si>
  <si>
    <t>2020-03-15</t>
  </si>
  <si>
    <t>E002</t>
  </si>
  <si>
    <t>Carlos</t>
  </si>
  <si>
    <t>Ríos</t>
  </si>
  <si>
    <t>Ejecutivo</t>
  </si>
  <si>
    <t>2021-06-01</t>
  </si>
  <si>
    <t>E003</t>
  </si>
  <si>
    <t>Lucía</t>
  </si>
  <si>
    <t>Vega</t>
  </si>
  <si>
    <t>2019-11-20</t>
  </si>
  <si>
    <t>E004</t>
  </si>
  <si>
    <t>Miguel</t>
  </si>
  <si>
    <t>Paz</t>
  </si>
  <si>
    <t>2022-01-10</t>
  </si>
  <si>
    <t>E005</t>
  </si>
  <si>
    <t>Sofía</t>
  </si>
  <si>
    <t>Luna</t>
  </si>
  <si>
    <t>Ejecutiva</t>
  </si>
  <si>
    <t>2021-09-05</t>
  </si>
  <si>
    <t>E006</t>
  </si>
  <si>
    <t>Diego</t>
  </si>
  <si>
    <t>Mora</t>
  </si>
  <si>
    <t>2023-02-14</t>
  </si>
  <si>
    <t>E007</t>
  </si>
  <si>
    <t>Patricia</t>
  </si>
  <si>
    <t>Chávez</t>
  </si>
  <si>
    <t>RRHH</t>
  </si>
  <si>
    <t>Jefa de RRHH</t>
  </si>
  <si>
    <t>2018-07-01</t>
  </si>
  <si>
    <t>E008</t>
  </si>
  <si>
    <t>Roberto</t>
  </si>
  <si>
    <t>Sánchez</t>
  </si>
  <si>
    <t>TI</t>
  </si>
  <si>
    <t>Analista TI</t>
  </si>
  <si>
    <t>2020-05-15</t>
  </si>
  <si>
    <t>E009</t>
  </si>
  <si>
    <t>Valeria</t>
  </si>
  <si>
    <t>Flores</t>
  </si>
  <si>
    <t>Contabilidad</t>
  </si>
  <si>
    <t>Contadora Senior</t>
  </si>
  <si>
    <t>2019-03-01</t>
  </si>
  <si>
    <t>E010</t>
  </si>
  <si>
    <t>Andrés</t>
  </si>
  <si>
    <t>Mendoza</t>
  </si>
  <si>
    <t>Marketing</t>
  </si>
  <si>
    <t>Jefe Marketing</t>
  </si>
  <si>
    <t>2021-04-20</t>
  </si>
  <si>
    <t>E011</t>
  </si>
  <si>
    <t>Carmen</t>
  </si>
  <si>
    <t>Ruiz</t>
  </si>
  <si>
    <t>Logística</t>
  </si>
  <si>
    <t>Coordinadora</t>
  </si>
  <si>
    <t>2022-07-11</t>
  </si>
  <si>
    <t>E012</t>
  </si>
  <si>
    <t>Fernando</t>
  </si>
  <si>
    <t>Castillo</t>
  </si>
  <si>
    <t>Gerencia</t>
  </si>
  <si>
    <t>Gerente General</t>
  </si>
  <si>
    <t>2017-01-02</t>
  </si>
  <si>
    <t>E013</t>
  </si>
  <si>
    <t>Isabel</t>
  </si>
  <si>
    <t>Guzmán</t>
  </si>
  <si>
    <t>Analista</t>
  </si>
  <si>
    <t>2023-05-02</t>
  </si>
  <si>
    <t>E014</t>
  </si>
  <si>
    <t>Javier</t>
  </si>
  <si>
    <t>Herrera</t>
  </si>
  <si>
    <t>Dev Senior</t>
  </si>
  <si>
    <t>2020-08-17</t>
  </si>
  <si>
    <t>E015</t>
  </si>
  <si>
    <t>Natalia</t>
  </si>
  <si>
    <t>Paredes</t>
  </si>
  <si>
    <t>Diseñadora</t>
  </si>
  <si>
    <t>2022-03-28</t>
  </si>
  <si>
    <t>Estado Meta</t>
  </si>
  <si>
    <t>Total Ingreso Neto</t>
  </si>
  <si>
    <t>Nro. De Ventas</t>
  </si>
  <si>
    <t>Mejor Vendedor</t>
  </si>
  <si>
    <t>Total Ganancia</t>
  </si>
  <si>
    <t>Promedio Por Ventas</t>
  </si>
  <si>
    <t>Categoria TOP</t>
  </si>
  <si>
    <t>TECHPERU S.A.C. - KPI DASHBOARD 2025</t>
  </si>
  <si>
    <t>Etiquetas de fila</t>
  </si>
  <si>
    <t>Total general</t>
  </si>
  <si>
    <t>Etiquetas de columna</t>
  </si>
  <si>
    <t>Suma de Ingreso_Neto</t>
  </si>
  <si>
    <t>Vendedor:</t>
  </si>
  <si>
    <t>Región:</t>
  </si>
  <si>
    <t>Categoría:</t>
  </si>
  <si>
    <t>Resultados:</t>
  </si>
  <si>
    <t>Total Ventas (Vendedor + Categoría):</t>
  </si>
  <si>
    <t>Total Ventas (Vendedor + Región):</t>
  </si>
  <si>
    <t>Nro. de Ventas (Vendedor + Categoría):</t>
  </si>
  <si>
    <t>Promedio de Venta (Vendedor):</t>
  </si>
  <si>
    <t>Mejor Venta del Vendedor:</t>
  </si>
  <si>
    <t>Peor Venta del Vendedor:</t>
  </si>
  <si>
    <t>BÚSQUEDA POR ID</t>
  </si>
  <si>
    <t>ID de Venta:</t>
  </si>
  <si>
    <t>Producto:</t>
  </si>
  <si>
    <t>Ingreso Neto:</t>
  </si>
  <si>
    <t>Estado Meta:</t>
  </si>
  <si>
    <t>Mes:</t>
  </si>
  <si>
    <t>Nro. Ventas:</t>
  </si>
  <si>
    <t>Promedio: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</si>
  <si>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</si>
  <si>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</si>
  <si>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</si>
  <si>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</si>
  <si>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</si>
  <si>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</si>
  <si>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</si>
  <si>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</si>
  <si>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</si>
  <si>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</si>
  <si>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</si>
  <si>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</si>
  <si>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TOTAL:</t>
  </si>
  <si>
    <t>RANKING DE VENDEDORES Y CATEGORÍAS</t>
  </si>
  <si>
    <t>VENDEDORES</t>
  </si>
  <si>
    <t>% Participación:</t>
  </si>
  <si>
    <t>CATEGORÍAS</t>
  </si>
  <si>
    <t>Categorías:</t>
  </si>
  <si>
    <t>REPORTE MENSUAL DE VENTAS 2024</t>
  </si>
  <si>
    <t>CONSULTA DINÁNICA</t>
  </si>
  <si>
    <t>TABLA DINÁMICA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</si>
</sst>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404040"/>
      <name val="Arial"/>
      <charset val="1"/>
    </font>
    <font>
      <b/>
      <sz val="11"/>
      <color rgb="FFFFFFFF"/>
      <name val="Arial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i/>
      <sz val="11"/>
      <color theme="1"/>
      <name val="Calibri"/>
      <family val="2"/>
    </font>
    <font>
      <b/>
      <sz val="11"/>
      <color theme="2"/>
      <name val="Calibri"/>
      <family val="2"/>
    </font>
    <font>
      <sz val="11"/>
      <color theme="2"/>
      <name val="Calibri"/>
      <family val="2"/>
      <charset val="1"/>
    </font>
    <font>
      <sz val="11"/>
      <name val="Calibri"/>
      <family val="2"/>
      <charset val="1"/>
    </font>
    <font>
      <b/>
      <sz val="12"/>
      <color theme="2"/>
      <name val="Calibri"/>
      <family val="2"/>
    </font>
    <font>
      <b/>
      <sz val="18"/>
      <color theme="0"/>
      <name val="Calibri"/>
      <family val="2"/>
    </font>
    <font>
      <sz val="11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9" fontId="0" fillId="0" borderId="1" xfId="0" applyNumberFormat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4" fontId="0" fillId="4" borderId="1" xfId="0" applyNumberFormat="1" applyFill="1" applyBorder="1"/>
    <xf numFmtId="9" fontId="0" fillId="4" borderId="1" xfId="0" applyNumberFormat="1" applyFill="1" applyBorder="1"/>
    <xf numFmtId="4" fontId="3" fillId="0" borderId="1" xfId="0" applyNumberFormat="1" applyFont="1" applyBorder="1"/>
    <xf numFmtId="4" fontId="3" fillId="4" borderId="1" xfId="0" applyNumberFormat="1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5" borderId="0" xfId="0" applyFont="1" applyFill="1" applyAlignment="1">
      <alignment vertical="center"/>
    </xf>
    <xf numFmtId="4" fontId="7" fillId="5" borderId="0" xfId="0" applyNumberFormat="1" applyFont="1" applyFill="1" applyAlignment="1">
      <alignment vertical="center"/>
    </xf>
    <xf numFmtId="0" fontId="6" fillId="6" borderId="0" xfId="0" applyFont="1" applyFill="1" applyAlignment="1">
      <alignment vertical="center"/>
    </xf>
    <xf numFmtId="4" fontId="7" fillId="6" borderId="0" xfId="0" applyNumberFormat="1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4" fontId="7" fillId="8" borderId="0" xfId="0" applyNumberFormat="1" applyFont="1" applyFill="1" applyAlignment="1">
      <alignment vertical="center"/>
    </xf>
    <xf numFmtId="0" fontId="0" fillId="10" borderId="3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4" fontId="11" fillId="5" borderId="0" xfId="0" applyNumberFormat="1" applyFont="1" applyFill="1" applyAlignment="1">
      <alignment vertical="center"/>
    </xf>
    <xf numFmtId="4" fontId="11" fillId="6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/>
    </xf>
    <xf numFmtId="4" fontId="11" fillId="8" borderId="0" xfId="0" applyNumberFormat="1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12" borderId="5" xfId="0" applyNumberFormat="1" applyFill="1" applyBorder="1" applyAlignment="1">
      <alignment vertical="center"/>
    </xf>
    <xf numFmtId="0" fontId="0" fillId="6" borderId="0" xfId="0" applyFill="1"/>
    <xf numFmtId="0" fontId="0" fillId="13" borderId="0" xfId="0" applyFill="1"/>
    <xf numFmtId="0" fontId="0" fillId="14" borderId="0" xfId="0" applyFill="1"/>
    <xf numFmtId="9" fontId="0" fillId="14" borderId="0" xfId="0" applyNumberFormat="1" applyFill="1"/>
    <xf numFmtId="9" fontId="0" fillId="6" borderId="0" xfId="0" applyNumberFormat="1" applyFill="1"/>
    <xf numFmtId="0" fontId="0" fillId="9" borderId="0" xfId="0" applyFill="1"/>
    <xf numFmtId="9" fontId="0" fillId="9" borderId="0" xfId="0" applyNumberFormat="1" applyFill="1"/>
    <xf numFmtId="0" fontId="14" fillId="15" borderId="0" xfId="0" applyFont="1" applyFill="1"/>
    <xf numFmtId="0" fontId="0" fillId="12" borderId="0" xfId="0" applyFill="1"/>
    <xf numFmtId="0" fontId="14" fillId="16" borderId="0" xfId="0" applyFont="1" applyFill="1"/>
    <xf numFmtId="0" fontId="15" fillId="12" borderId="0" xfId="0" applyFont="1" applyFill="1"/>
    <xf numFmtId="0" fontId="15" fillId="6" borderId="0" xfId="0" applyFont="1" applyFill="1"/>
    <xf numFmtId="0" fontId="15" fillId="9" borderId="0" xfId="0" applyFont="1" applyFill="1"/>
    <xf numFmtId="0" fontId="13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11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/>
    </xf>
    <xf numFmtId="0" fontId="18" fillId="15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8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Tendencia de Ventas Mensuales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'Reporte Mensual'!$B$5:$B$16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'Reporte Mensual'!$C$5:$C$16</c:f>
              <c:numCache>
                <c:formatCode>General</c:formatCode>
                <c:ptCount val="12"/>
                <c:pt idx="0">
                  <c:v>192480.25</c:v>
                </c:pt>
                <c:pt idx="1">
                  <c:v>134405.5</c:v>
                </c:pt>
                <c:pt idx="2">
                  <c:v>235123.5</c:v>
                </c:pt>
                <c:pt idx="3">
                  <c:v>190678</c:v>
                </c:pt>
                <c:pt idx="4">
                  <c:v>108673.5</c:v>
                </c:pt>
                <c:pt idx="5">
                  <c:v>124635</c:v>
                </c:pt>
                <c:pt idx="6">
                  <c:v>161476.25</c:v>
                </c:pt>
                <c:pt idx="7">
                  <c:v>198255</c:v>
                </c:pt>
                <c:pt idx="8">
                  <c:v>92314.75</c:v>
                </c:pt>
                <c:pt idx="9">
                  <c:v>162757</c:v>
                </c:pt>
                <c:pt idx="10">
                  <c:v>90676.5</c:v>
                </c:pt>
                <c:pt idx="11">
                  <c:v>101846.75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7-4E5C-B9AA-80F1904F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620832"/>
        <c:axId val="1278619392"/>
      </c:lineChart>
      <c:catAx>
        <c:axId val="12786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8619392"/>
        <c:crosses val="autoZero"/>
        <c:auto val="1"/>
        <c:lblAlgn val="ctr"/>
        <c:lblOffset val="100"/>
        <c:noMultiLvlLbl val="0"/>
      </c:catAx>
      <c:valAx>
        <c:axId val="12786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86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 Neto por</a:t>
            </a:r>
            <a:r>
              <a:rPr lang="es-ES" baseline="0"/>
              <a:t> Vendedor 2024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Ranking!$B$6:$B$11</c:f>
              <c:strCache>
                <c:ptCount val="6"/>
                <c:pt idx="0">
                  <c:v>Ana Torres</c:v>
                </c:pt>
                <c:pt idx="1">
                  <c:v>Carlos Ríos</c:v>
                </c:pt>
                <c:pt idx="2">
                  <c:v>Diego Mora</c:v>
                </c:pt>
                <c:pt idx="3">
                  <c:v>Lucía Vega</c:v>
                </c:pt>
                <c:pt idx="4">
                  <c:v>Miguel Paz</c:v>
                </c:pt>
                <c:pt idx="5">
                  <c:v>Sofía Luna</c:v>
                </c:pt>
              </c:strCache>
            </c:strRef>
          </c:cat>
          <c:val>
            <c:numRef>
              <c:f>Ranking!$C$6:$C$11</c:f>
              <c:numCache>
                <c:formatCode>General</c:formatCode>
                <c:ptCount val="6"/>
                <c:pt idx="0">
                  <c:v>360906</c:v>
                </c:pt>
                <c:pt idx="1">
                  <c:v>304999.5</c:v>
                </c:pt>
                <c:pt idx="2">
                  <c:v>270691.75</c:v>
                </c:pt>
                <c:pt idx="3">
                  <c:v>302819.5</c:v>
                </c:pt>
                <c:pt idx="4">
                  <c:v>366852.25</c:v>
                </c:pt>
                <c:pt idx="5">
                  <c:v>187053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C-46CE-B9B3-1B573CE61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022880"/>
        <c:axId val="1428023360"/>
      </c:barChart>
      <c:catAx>
        <c:axId val="142802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8023360"/>
        <c:crosses val="autoZero"/>
        <c:auto val="1"/>
        <c:lblAlgn val="ctr"/>
        <c:lblOffset val="100"/>
        <c:noMultiLvlLbl val="0"/>
      </c:catAx>
      <c:valAx>
        <c:axId val="14280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802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Participación</a:t>
            </a:r>
            <a:r>
              <a:rPr lang="es-ES" baseline="0"/>
              <a:t> por Categoría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25-47FE-BE2D-0DA989CD4D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25-47FE-BE2D-0DA989CD4D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25-47FE-BE2D-0DA989CD4D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25-47FE-BE2D-0DA989CD4D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25-47FE-BE2D-0DA989CD4D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Ranking!$B$15:$B$19</c:f>
              <c:strCache>
                <c:ptCount val="5"/>
                <c:pt idx="0">
                  <c:v>Laptops</c:v>
                </c:pt>
                <c:pt idx="1">
                  <c:v>Monitores</c:v>
                </c:pt>
                <c:pt idx="2">
                  <c:v>Periféricos</c:v>
                </c:pt>
                <c:pt idx="3">
                  <c:v>Redes</c:v>
                </c:pt>
                <c:pt idx="4">
                  <c:v>Software</c:v>
                </c:pt>
              </c:strCache>
            </c:strRef>
          </c:cat>
          <c:val>
            <c:numRef>
              <c:f>Ranking!$C$15:$C$19</c:f>
              <c:numCache>
                <c:formatCode>General</c:formatCode>
                <c:ptCount val="5"/>
                <c:pt idx="0">
                  <c:v>909400</c:v>
                </c:pt>
                <c:pt idx="1">
                  <c:v>397792.5</c:v>
                </c:pt>
                <c:pt idx="2">
                  <c:v>67833.5</c:v>
                </c:pt>
                <c:pt idx="3">
                  <c:v>82777.5</c:v>
                </c:pt>
                <c:pt idx="4">
                  <c:v>335518.5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4-4B35-8040-609638E0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0</xdr:rowOff>
    </xdr:from>
    <xdr:to>
      <xdr:col>11</xdr:col>
      <xdr:colOff>285750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3832BB-BBA6-9E0D-9181-53746D345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0</xdr:row>
      <xdr:rowOff>0</xdr:rowOff>
    </xdr:from>
    <xdr:to>
      <xdr:col>11</xdr:col>
      <xdr:colOff>257175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6C6B9C-AF29-0AB6-0961-7DD68A6A8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676275</xdr:colOff>
      <xdr:row>21</xdr:row>
      <xdr:rowOff>14287</xdr:rowOff>
    </xdr:from>
    <xdr:to>
      <xdr:col>6</xdr:col>
      <xdr:colOff>152400</xdr:colOff>
      <xdr:row>35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AB806B-AB33-FE8E-D9B9-C2A0D9E8B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371475</xdr:colOff>
      <xdr:row>0</xdr:row>
      <xdr:rowOff>47625</xdr:rowOff>
    </xdr:from>
    <xdr:to>
      <xdr:col>12</xdr:col>
      <xdr:colOff>647700</xdr:colOff>
      <xdr:row>12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ón">
              <a:extLst>
                <a:ext uri="{FF2B5EF4-FFF2-40B4-BE49-F238E27FC236}">
                  <a16:creationId xmlns:a16="http://schemas.microsoft.com/office/drawing/2014/main" id="{110EB2F1-A03D-414A-EAA9-CE881EC7EF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77350" y="47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152400</xdr:colOff>
      <xdr:row>0</xdr:row>
      <xdr:rowOff>38100</xdr:rowOff>
    </xdr:from>
    <xdr:to>
      <xdr:col>10</xdr:col>
      <xdr:colOff>352425</xdr:colOff>
      <xdr:row>12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ía">
              <a:extLst>
                <a:ext uri="{FF2B5EF4-FFF2-40B4-BE49-F238E27FC236}">
                  <a16:creationId xmlns:a16="http://schemas.microsoft.com/office/drawing/2014/main" id="{4C64474D-9C69-8B5E-BA29-D1B0709C8B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0" y="38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terOS" refreshedDate="46182.730805324078" createdVersion="8" refreshedVersion="8" minRefreshableVersion="3" recordCount="280" xr:uid="{09489F91-EB0B-41C8-9409-1471601E58CA}">
  <cacheSource type="worksheet">
    <worksheetSource ref="A2:N282" sheet="Ventas"/>
  </cacheSource>
  <cacheFields count="14">
    <cacheField name="ID_Venta" numFmtId="0">
      <sharedItems containsBlank="1"/>
    </cacheField>
    <cacheField name="Fecha" numFmtId="0">
      <sharedItems containsBlank="1"/>
    </cacheField>
    <cacheField name="Vendedor" numFmtId="0">
      <sharedItems containsBlank="1" count="7">
        <s v="Diego Mora"/>
        <s v="Sofía Luna"/>
        <s v="Lucía Vega"/>
        <s v="Ana Torres"/>
        <s v="Miguel Paz"/>
        <s v="Carlos Ríos"/>
        <m/>
      </sharedItems>
    </cacheField>
    <cacheField name="Región" numFmtId="0">
      <sharedItems containsBlank="1" count="7">
        <s v="Lima Este"/>
        <s v="Lima Centro"/>
        <s v="Lima Sur"/>
        <s v="Callao"/>
        <s v="Lima Norte"/>
        <s v="Provincias"/>
        <m/>
      </sharedItems>
    </cacheField>
    <cacheField name="Categoría" numFmtId="0">
      <sharedItems containsBlank="1" count="6">
        <s v="Laptops"/>
        <s v="Redes"/>
        <s v="Monitores"/>
        <s v="Software"/>
        <s v="Periféricos"/>
        <m/>
      </sharedItems>
    </cacheField>
    <cacheField name="Producto" numFmtId="0">
      <sharedItems containsBlank="1" count="21">
        <s v="HP Pavilion 15"/>
        <s v="Router TP-Link"/>
        <s v="BenQ 22&quot;"/>
        <s v="AutoCAD 2024"/>
        <s v="Dell Inspiron"/>
        <s v="Asus VivoBook"/>
        <s v="Mouse Gamer"/>
        <s v="Lenovo IdeaPad"/>
        <s v="Dell UltraSharp"/>
        <s v="Switch 8 puertos"/>
        <s v="Webcam Logitech"/>
        <s v="Cable UTP x100m"/>
        <s v="Office 365 Anual"/>
        <s v="LG 27&quot;"/>
        <s v="Teclado Logitech"/>
        <s v="Access Point"/>
        <s v="Samsung 24&quot;"/>
        <s v="Auriculares Sony"/>
        <s v="Antivirus Kaspersky"/>
        <s v="Adobe CC"/>
        <m/>
      </sharedItems>
    </cacheField>
    <cacheField name="Cantidad" numFmtId="0">
      <sharedItems containsString="0" containsBlank="1" containsNumber="1" containsInteger="1" minValue="1" maxValue="15"/>
    </cacheField>
    <cacheField name="Precio_Unit" numFmtId="0">
      <sharedItems containsString="0" containsBlank="1" containsNumber="1" containsInteger="1" minValue="85" maxValue="2800"/>
    </cacheField>
    <cacheField name="Descuento" numFmtId="0">
      <sharedItems containsString="0" containsBlank="1" containsNumber="1" minValue="0" maxValue="0.15"/>
    </cacheField>
    <cacheField name="Ingreso_Bruto" numFmtId="0">
      <sharedItems containsString="0" containsBlank="1" containsNumber="1" containsInteger="1" minValue="85" maxValue="39200"/>
    </cacheField>
    <cacheField name="Ingreso_Neto" numFmtId="0">
      <sharedItems containsString="0" containsBlank="1" containsNumber="1" minValue="72.25" maxValue="37500"/>
    </cacheField>
    <cacheField name="Costo_Unit" numFmtId="0">
      <sharedItems containsString="0" containsBlank="1" containsNumber="1" minValue="48.21" maxValue="1944.33"/>
    </cacheField>
    <cacheField name="Ganancia" numFmtId="0">
      <sharedItems containsString="0" containsBlank="1" containsNumber="1" minValue="22.590000000000003" maxValue="15518.580000000002"/>
    </cacheField>
    <cacheField name="Estado Meta" numFmtId="0">
      <sharedItems containsBlank="1"/>
    </cacheField>
  </cacheFields>
  <extLst>
    <ext xmlns:x14="http://schemas.microsoft.com/office/spreadsheetml/2009/9/main" uri="{725AE2AE-9491-48be-B2B4-4EB974FC3084}">
      <x14:pivotCacheDefinition pivotCacheId="6359652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V-0001"/>
    <s v="2024-01-04"/>
    <x v="0"/>
    <x v="0"/>
    <x v="0"/>
    <x v="0"/>
    <n v="4"/>
    <n v="2500"/>
    <n v="0"/>
    <n v="10000"/>
    <n v="10000"/>
    <n v="1427.33"/>
    <n v="4290.68"/>
    <s v="Meta Cumplida"/>
  </r>
  <r>
    <s v="V-0002"/>
    <s v="2024-01-08"/>
    <x v="1"/>
    <x v="1"/>
    <x v="1"/>
    <x v="1"/>
    <n v="1"/>
    <n v="180"/>
    <n v="0"/>
    <n v="180"/>
    <n v="180"/>
    <n v="101.53"/>
    <n v="78.47"/>
    <s v="Meta Cumplida"/>
  </r>
  <r>
    <s v="V-0003"/>
    <s v="2024-01-14"/>
    <x v="1"/>
    <x v="2"/>
    <x v="1"/>
    <x v="1"/>
    <n v="12"/>
    <n v="180"/>
    <n v="0.15"/>
    <n v="2160"/>
    <n v="1836"/>
    <n v="117.94"/>
    <n v="420.72"/>
    <s v="Meta No Alcanzada"/>
  </r>
  <r>
    <s v="V-0004"/>
    <s v="2024-01-06"/>
    <x v="1"/>
    <x v="0"/>
    <x v="2"/>
    <x v="2"/>
    <n v="13"/>
    <n v="480"/>
    <n v="0"/>
    <n v="6240"/>
    <n v="6240"/>
    <n v="318.63"/>
    <n v="2097.8100000000004"/>
    <s v="Meta No Alcanzada"/>
  </r>
  <r>
    <s v="V-0005"/>
    <s v="2024-01-13"/>
    <x v="2"/>
    <x v="2"/>
    <x v="3"/>
    <x v="3"/>
    <n v="4"/>
    <n v="1800"/>
    <n v="0"/>
    <n v="7200"/>
    <n v="7200"/>
    <n v="1017.6"/>
    <n v="3129.6"/>
    <s v="Meta Cumplida"/>
  </r>
  <r>
    <s v="V-0006"/>
    <s v="2024-01-18"/>
    <x v="2"/>
    <x v="3"/>
    <x v="0"/>
    <x v="4"/>
    <n v="5"/>
    <n v="2800"/>
    <n v="0"/>
    <n v="14000"/>
    <n v="14000"/>
    <n v="1846.49"/>
    <n v="4767.5499999999993"/>
    <s v="Meta Cumplida"/>
  </r>
  <r>
    <s v="V-0007"/>
    <s v="2024-01-28"/>
    <x v="3"/>
    <x v="3"/>
    <x v="0"/>
    <x v="5"/>
    <n v="5"/>
    <n v="2100"/>
    <n v="0.15"/>
    <n v="10500"/>
    <n v="8925"/>
    <n v="1349.83"/>
    <n v="2175.8500000000004"/>
    <s v="Meta Cumplida"/>
  </r>
  <r>
    <s v="V-0008"/>
    <s v="2024-01-10"/>
    <x v="0"/>
    <x v="4"/>
    <x v="4"/>
    <x v="6"/>
    <n v="1"/>
    <n v="85"/>
    <n v="0.15"/>
    <n v="85"/>
    <n v="72.25"/>
    <n v="49.66"/>
    <n v="22.590000000000003"/>
    <s v="Meta Cumplida"/>
  </r>
  <r>
    <s v="V-0009"/>
    <s v="2024-01-12"/>
    <x v="3"/>
    <x v="1"/>
    <x v="0"/>
    <x v="7"/>
    <n v="5"/>
    <n v="2200"/>
    <n v="0.05"/>
    <n v="11000"/>
    <n v="10450"/>
    <n v="1419.78"/>
    <n v="3351.1000000000004"/>
    <s v="Meta No Alcanzada"/>
  </r>
  <r>
    <s v="V-0010"/>
    <s v="2024-01-22"/>
    <x v="2"/>
    <x v="2"/>
    <x v="2"/>
    <x v="8"/>
    <n v="11"/>
    <n v="1200"/>
    <n v="0"/>
    <n v="13200"/>
    <n v="13200"/>
    <n v="786.33"/>
    <n v="4550.369999999999"/>
    <s v="Meta Cumplida"/>
  </r>
  <r>
    <s v="V-0011"/>
    <s v="2024-01-09"/>
    <x v="1"/>
    <x v="5"/>
    <x v="0"/>
    <x v="7"/>
    <n v="4"/>
    <n v="2200"/>
    <n v="0"/>
    <n v="8800"/>
    <n v="8800"/>
    <n v="1362.55"/>
    <n v="3349.8"/>
    <s v="Meta Cumplida"/>
  </r>
  <r>
    <s v="V-0012"/>
    <s v="2024-01-02"/>
    <x v="0"/>
    <x v="0"/>
    <x v="1"/>
    <x v="9"/>
    <n v="14"/>
    <n v="220"/>
    <n v="0"/>
    <n v="3080"/>
    <n v="3080"/>
    <n v="128.56"/>
    <n v="1280.1599999999999"/>
    <s v="Meta Cumplida"/>
  </r>
  <r>
    <s v="V-0013"/>
    <s v="2024-01-11"/>
    <x v="2"/>
    <x v="4"/>
    <x v="4"/>
    <x v="10"/>
    <n v="4"/>
    <n v="220"/>
    <n v="0.1"/>
    <n v="880"/>
    <n v="792"/>
    <n v="149.91999999999999"/>
    <n v="192.32000000000005"/>
    <s v="Meta Cumplida"/>
  </r>
  <r>
    <s v="V-0014"/>
    <s v="2024-01-08"/>
    <x v="4"/>
    <x v="5"/>
    <x v="2"/>
    <x v="2"/>
    <n v="8"/>
    <n v="480"/>
    <n v="0"/>
    <n v="3840"/>
    <n v="3840"/>
    <n v="283.07"/>
    <n v="1575.44"/>
    <s v="Meta No Alcanzada"/>
  </r>
  <r>
    <s v="V-0015"/>
    <s v="2024-01-08"/>
    <x v="0"/>
    <x v="3"/>
    <x v="1"/>
    <x v="11"/>
    <n v="7"/>
    <n v="95"/>
    <n v="0.1"/>
    <n v="665"/>
    <n v="598.5"/>
    <n v="57.94"/>
    <n v="192.92000000000002"/>
    <s v="Meta Cumplida"/>
  </r>
  <r>
    <s v="V-0016"/>
    <s v="2024-01-06"/>
    <x v="3"/>
    <x v="4"/>
    <x v="2"/>
    <x v="2"/>
    <n v="14"/>
    <n v="480"/>
    <n v="0"/>
    <n v="6720"/>
    <n v="6720"/>
    <n v="275"/>
    <n v="2870"/>
    <s v="Meta No Alcanzada"/>
  </r>
  <r>
    <s v="V-0017"/>
    <s v="2024-01-18"/>
    <x v="4"/>
    <x v="1"/>
    <x v="3"/>
    <x v="12"/>
    <n v="10"/>
    <n v="350"/>
    <n v="0.05"/>
    <n v="3500"/>
    <n v="3325"/>
    <n v="220.28"/>
    <n v="1122.1999999999998"/>
    <s v="Meta Cumplida"/>
  </r>
  <r>
    <s v="V-0018"/>
    <s v="2024-01-11"/>
    <x v="0"/>
    <x v="3"/>
    <x v="0"/>
    <x v="0"/>
    <n v="13"/>
    <n v="2500"/>
    <n v="0"/>
    <n v="32500"/>
    <n v="32500"/>
    <n v="1663.22"/>
    <n v="10878.14"/>
    <s v="Meta Cumplida"/>
  </r>
  <r>
    <s v="V-0019"/>
    <s v="2024-01-24"/>
    <x v="4"/>
    <x v="2"/>
    <x v="0"/>
    <x v="4"/>
    <n v="8"/>
    <n v="2800"/>
    <n v="0"/>
    <n v="22400"/>
    <n v="22400"/>
    <n v="1940.6"/>
    <n v="6875.2000000000007"/>
    <s v="Meta Cumplida"/>
  </r>
  <r>
    <s v="V-0020"/>
    <s v="2024-01-21"/>
    <x v="1"/>
    <x v="4"/>
    <x v="4"/>
    <x v="6"/>
    <n v="14"/>
    <n v="85"/>
    <n v="0.15"/>
    <n v="1190"/>
    <n v="1011.5"/>
    <n v="50.56"/>
    <n v="303.65999999999997"/>
    <s v="Meta Cumplida"/>
  </r>
  <r>
    <s v="V-0021"/>
    <s v="2024-01-25"/>
    <x v="5"/>
    <x v="0"/>
    <x v="1"/>
    <x v="9"/>
    <n v="13"/>
    <n v="220"/>
    <n v="0"/>
    <n v="2860"/>
    <n v="2860"/>
    <n v="138.80000000000001"/>
    <n v="1055.5999999999999"/>
    <s v="Meta No Alcanzada"/>
  </r>
  <r>
    <s v="V-0022"/>
    <s v="2024-01-12"/>
    <x v="1"/>
    <x v="0"/>
    <x v="1"/>
    <x v="1"/>
    <n v="8"/>
    <n v="180"/>
    <n v="0"/>
    <n v="1440"/>
    <n v="1440"/>
    <n v="102.02"/>
    <n v="623.84"/>
    <s v="Meta Cumplida"/>
  </r>
  <r>
    <s v="V-0023"/>
    <s v="2024-01-03"/>
    <x v="3"/>
    <x v="2"/>
    <x v="4"/>
    <x v="6"/>
    <n v="15"/>
    <n v="85"/>
    <n v="0.1"/>
    <n v="1275"/>
    <n v="1147.5"/>
    <n v="58.82"/>
    <n v="265.20000000000005"/>
    <s v="Meta No Alcanzada"/>
  </r>
  <r>
    <s v="V-0024"/>
    <s v="2024-01-18"/>
    <x v="1"/>
    <x v="2"/>
    <x v="3"/>
    <x v="12"/>
    <n v="3"/>
    <n v="350"/>
    <n v="0.15"/>
    <n v="1050"/>
    <n v="892.5"/>
    <n v="217.45"/>
    <n v="240.15000000000009"/>
    <s v="Meta No Alcanzada"/>
  </r>
  <r>
    <s v="V-0025"/>
    <s v="2024-01-25"/>
    <x v="1"/>
    <x v="3"/>
    <x v="2"/>
    <x v="8"/>
    <n v="7"/>
    <n v="1200"/>
    <n v="0"/>
    <n v="8400"/>
    <n v="8400"/>
    <n v="827.2"/>
    <n v="2609.5999999999995"/>
    <s v="Meta No Alcanzada"/>
  </r>
  <r>
    <s v="V-0026"/>
    <s v="2024-01-17"/>
    <x v="4"/>
    <x v="5"/>
    <x v="2"/>
    <x v="8"/>
    <n v="11"/>
    <n v="1200"/>
    <n v="0"/>
    <n v="13200"/>
    <n v="13200"/>
    <n v="738.86"/>
    <n v="5072.54"/>
    <s v="Meta Cumplida"/>
  </r>
  <r>
    <s v="V-0027"/>
    <s v="2024-01-18"/>
    <x v="5"/>
    <x v="2"/>
    <x v="3"/>
    <x v="12"/>
    <n v="2"/>
    <n v="350"/>
    <n v="0"/>
    <n v="700"/>
    <n v="700"/>
    <n v="193.6"/>
    <n v="312.8"/>
    <s v="Meta Cumplida"/>
  </r>
  <r>
    <s v="V-0028"/>
    <s v="2024-01-03"/>
    <x v="3"/>
    <x v="4"/>
    <x v="2"/>
    <x v="13"/>
    <n v="12"/>
    <n v="850"/>
    <n v="0.15"/>
    <n v="10200"/>
    <n v="8670"/>
    <n v="475.01"/>
    <n v="2969.88"/>
    <s v="Meta No Alcanzada"/>
  </r>
  <r>
    <s v="V-0029"/>
    <s v="2024-02-18"/>
    <x v="1"/>
    <x v="2"/>
    <x v="4"/>
    <x v="14"/>
    <n v="5"/>
    <n v="120"/>
    <n v="0.15"/>
    <n v="600"/>
    <n v="510"/>
    <n v="74.739999999999995"/>
    <n v="136.30000000000001"/>
    <s v="Meta Cumplida"/>
  </r>
  <r>
    <s v="V-0030"/>
    <s v="2024-02-04"/>
    <x v="5"/>
    <x v="1"/>
    <x v="2"/>
    <x v="2"/>
    <n v="13"/>
    <n v="480"/>
    <n v="0.05"/>
    <n v="6240"/>
    <n v="5928"/>
    <n v="277.70999999999998"/>
    <n v="2317.7700000000004"/>
    <s v="Meta No Alcanzada"/>
  </r>
  <r>
    <s v="V-0031"/>
    <s v="2024-02-21"/>
    <x v="4"/>
    <x v="1"/>
    <x v="3"/>
    <x v="3"/>
    <n v="8"/>
    <n v="1800"/>
    <n v="0.15"/>
    <n v="14400"/>
    <n v="12240"/>
    <n v="1004.63"/>
    <n v="4202.96"/>
    <s v="Meta Cumplida"/>
  </r>
  <r>
    <s v="V-0032"/>
    <s v="2024-02-07"/>
    <x v="4"/>
    <x v="5"/>
    <x v="0"/>
    <x v="0"/>
    <n v="6"/>
    <n v="2500"/>
    <n v="0"/>
    <n v="15000"/>
    <n v="15000"/>
    <n v="1468.25"/>
    <n v="6190.5"/>
    <s v="Meta Cumplida"/>
  </r>
  <r>
    <s v="V-0033"/>
    <s v="2024-02-28"/>
    <x v="5"/>
    <x v="1"/>
    <x v="1"/>
    <x v="15"/>
    <n v="3"/>
    <n v="320"/>
    <n v="0"/>
    <n v="960"/>
    <n v="960"/>
    <n v="198.21"/>
    <n v="365.37"/>
    <s v="Meta Cumplida"/>
  </r>
  <r>
    <s v="V-0034"/>
    <s v="2024-02-27"/>
    <x v="1"/>
    <x v="4"/>
    <x v="0"/>
    <x v="5"/>
    <n v="1"/>
    <n v="2100"/>
    <n v="0.15"/>
    <n v="2100"/>
    <n v="1785"/>
    <n v="1469.77"/>
    <n v="315.23"/>
    <s v="Meta No Alcanzada"/>
  </r>
  <r>
    <s v="V-0035"/>
    <s v="2024-02-28"/>
    <x v="5"/>
    <x v="2"/>
    <x v="0"/>
    <x v="0"/>
    <n v="7"/>
    <n v="2500"/>
    <n v="0.05"/>
    <n v="17500"/>
    <n v="16625"/>
    <n v="1555.51"/>
    <n v="5736.43"/>
    <s v="Meta No Alcanzada"/>
  </r>
  <r>
    <s v="V-0036"/>
    <s v="2024-02-26"/>
    <x v="5"/>
    <x v="1"/>
    <x v="3"/>
    <x v="12"/>
    <n v="1"/>
    <n v="350"/>
    <n v="0.05"/>
    <n v="350"/>
    <n v="332.5"/>
    <n v="206.42"/>
    <n v="126.08000000000001"/>
    <s v="Meta Cumplida"/>
  </r>
  <r>
    <s v="V-0037"/>
    <s v="2024-02-16"/>
    <x v="4"/>
    <x v="5"/>
    <x v="3"/>
    <x v="3"/>
    <n v="12"/>
    <n v="1800"/>
    <n v="0.1"/>
    <n v="21600"/>
    <n v="19440"/>
    <n v="1168.71"/>
    <n v="5415.48"/>
    <s v="Meta No Alcanzada"/>
  </r>
  <r>
    <s v="V-0038"/>
    <s v="2024-02-02"/>
    <x v="2"/>
    <x v="2"/>
    <x v="2"/>
    <x v="13"/>
    <n v="1"/>
    <n v="850"/>
    <n v="0.1"/>
    <n v="850"/>
    <n v="765"/>
    <n v="561.30999999999995"/>
    <n v="203.69000000000005"/>
    <s v="Meta Cumplida"/>
  </r>
  <r>
    <s v="V-0039"/>
    <s v="2024-02-17"/>
    <x v="3"/>
    <x v="3"/>
    <x v="4"/>
    <x v="14"/>
    <n v="8"/>
    <n v="120"/>
    <n v="0.1"/>
    <n v="960"/>
    <n v="864"/>
    <n v="82.55"/>
    <n v="203.60000000000002"/>
    <s v="Meta No Alcanzada"/>
  </r>
  <r>
    <s v="V-0040"/>
    <s v="2024-02-03"/>
    <x v="1"/>
    <x v="4"/>
    <x v="2"/>
    <x v="16"/>
    <n v="14"/>
    <n v="650"/>
    <n v="0"/>
    <n v="9100"/>
    <n v="9100"/>
    <n v="364.18"/>
    <n v="4001.4799999999996"/>
    <s v="Meta No Alcanzada"/>
  </r>
  <r>
    <s v="V-0041"/>
    <s v="2024-02-20"/>
    <x v="3"/>
    <x v="3"/>
    <x v="2"/>
    <x v="2"/>
    <n v="4"/>
    <n v="480"/>
    <n v="0.1"/>
    <n v="1920"/>
    <n v="1728"/>
    <n v="306.81"/>
    <n v="500.76"/>
    <s v="Meta Cumplida"/>
  </r>
  <r>
    <s v="V-0042"/>
    <s v="2024-02-09"/>
    <x v="0"/>
    <x v="3"/>
    <x v="0"/>
    <x v="5"/>
    <n v="10"/>
    <n v="2100"/>
    <n v="0.1"/>
    <n v="21000"/>
    <n v="18900"/>
    <n v="1254.6600000000001"/>
    <n v="6353.4"/>
    <s v="Meta No Alcanzada"/>
  </r>
  <r>
    <s v="V-0043"/>
    <s v="2024-02-10"/>
    <x v="5"/>
    <x v="0"/>
    <x v="2"/>
    <x v="8"/>
    <n v="7"/>
    <n v="1200"/>
    <n v="0"/>
    <n v="8400"/>
    <n v="8400"/>
    <n v="780.9"/>
    <n v="2933.7"/>
    <s v="Meta Cumplida"/>
  </r>
  <r>
    <s v="V-0044"/>
    <s v="2024-02-04"/>
    <x v="3"/>
    <x v="4"/>
    <x v="3"/>
    <x v="3"/>
    <n v="8"/>
    <n v="1800"/>
    <n v="0.1"/>
    <n v="14400"/>
    <n v="12960"/>
    <n v="1259.58"/>
    <n v="2883.3600000000006"/>
    <s v="Meta Cumplida"/>
  </r>
  <r>
    <s v="V-0045"/>
    <s v="2024-02-08"/>
    <x v="1"/>
    <x v="0"/>
    <x v="0"/>
    <x v="7"/>
    <n v="3"/>
    <n v="2200"/>
    <n v="0"/>
    <n v="6600"/>
    <n v="6600"/>
    <n v="1500.69"/>
    <n v="2097.9300000000003"/>
    <s v="Meta Cumplida"/>
  </r>
  <r>
    <s v="V-0046"/>
    <s v="2024-02-20"/>
    <x v="5"/>
    <x v="1"/>
    <x v="4"/>
    <x v="17"/>
    <n v="14"/>
    <n v="180"/>
    <n v="0.1"/>
    <n v="2520"/>
    <n v="2268"/>
    <n v="118"/>
    <n v="616"/>
    <s v="Meta Cumplida"/>
  </r>
  <r>
    <s v="V-0047"/>
    <s v="2024-03-05"/>
    <x v="0"/>
    <x v="3"/>
    <x v="1"/>
    <x v="1"/>
    <n v="5"/>
    <n v="180"/>
    <n v="0.15"/>
    <n v="900"/>
    <n v="765"/>
    <n v="101.8"/>
    <n v="256"/>
    <s v="Meta No Alcanzada"/>
  </r>
  <r>
    <s v="V-0048"/>
    <s v="2024-03-20"/>
    <x v="3"/>
    <x v="5"/>
    <x v="4"/>
    <x v="14"/>
    <n v="9"/>
    <n v="120"/>
    <n v="0"/>
    <n v="1080"/>
    <n v="1080"/>
    <n v="70.900000000000006"/>
    <n v="441.9"/>
    <s v="Meta No Alcanzada"/>
  </r>
  <r>
    <s v="V-0049"/>
    <s v="2024-03-09"/>
    <x v="5"/>
    <x v="5"/>
    <x v="2"/>
    <x v="8"/>
    <n v="11"/>
    <n v="1200"/>
    <n v="0"/>
    <n v="13200"/>
    <n v="13200"/>
    <n v="750.97"/>
    <n v="4939.33"/>
    <s v="Meta No Alcanzada"/>
  </r>
  <r>
    <s v="V-0050"/>
    <s v="2024-03-11"/>
    <x v="0"/>
    <x v="1"/>
    <x v="0"/>
    <x v="0"/>
    <n v="14"/>
    <n v="2500"/>
    <n v="0"/>
    <n v="35000"/>
    <n v="35000"/>
    <n v="1391.53"/>
    <n v="15518.580000000002"/>
    <s v="Meta Cumplida"/>
  </r>
  <r>
    <s v="V-0051"/>
    <s v="2024-03-18"/>
    <x v="5"/>
    <x v="5"/>
    <x v="2"/>
    <x v="8"/>
    <n v="8"/>
    <n v="1200"/>
    <n v="0.1"/>
    <n v="9600"/>
    <n v="8640"/>
    <n v="787.02"/>
    <n v="2343.84"/>
    <s v="Meta Cumplida"/>
  </r>
  <r>
    <s v="V-0052"/>
    <s v="2024-03-27"/>
    <x v="3"/>
    <x v="5"/>
    <x v="0"/>
    <x v="0"/>
    <n v="15"/>
    <n v="2500"/>
    <n v="0"/>
    <n v="37500"/>
    <n v="37500"/>
    <n v="1579.6"/>
    <n v="13806"/>
    <s v="Meta Cumplida"/>
  </r>
  <r>
    <s v="V-0053"/>
    <s v="2024-03-26"/>
    <x v="4"/>
    <x v="2"/>
    <x v="4"/>
    <x v="6"/>
    <n v="1"/>
    <n v="85"/>
    <n v="0"/>
    <n v="85"/>
    <n v="85"/>
    <n v="51.4"/>
    <n v="33.6"/>
    <s v="Meta Cumplida"/>
  </r>
  <r>
    <s v="V-0054"/>
    <s v="2024-03-25"/>
    <x v="5"/>
    <x v="5"/>
    <x v="0"/>
    <x v="4"/>
    <n v="4"/>
    <n v="2800"/>
    <n v="0.15"/>
    <n v="11200"/>
    <n v="9520"/>
    <n v="1583.17"/>
    <n v="3187.3199999999997"/>
    <s v="Meta No Alcanzada"/>
  </r>
  <r>
    <s v="V-0055"/>
    <s v="2024-03-26"/>
    <x v="1"/>
    <x v="5"/>
    <x v="1"/>
    <x v="15"/>
    <n v="3"/>
    <n v="320"/>
    <n v="0"/>
    <n v="960"/>
    <n v="960"/>
    <n v="217.5"/>
    <n v="307.5"/>
    <s v="Meta Cumplida"/>
  </r>
  <r>
    <s v="V-0056"/>
    <s v="2024-03-14"/>
    <x v="3"/>
    <x v="2"/>
    <x v="2"/>
    <x v="2"/>
    <n v="12"/>
    <n v="480"/>
    <n v="0"/>
    <n v="5760"/>
    <n v="5760"/>
    <n v="320.33"/>
    <n v="1916.04"/>
    <s v="Meta No Alcanzada"/>
  </r>
  <r>
    <s v="V-0057"/>
    <s v="2024-03-28"/>
    <x v="5"/>
    <x v="5"/>
    <x v="2"/>
    <x v="8"/>
    <n v="2"/>
    <n v="1200"/>
    <n v="0.05"/>
    <n v="2400"/>
    <n v="2280"/>
    <n v="816.99"/>
    <n v="646.02"/>
    <s v="Meta Cumplida"/>
  </r>
  <r>
    <s v="V-0058"/>
    <s v="2024-03-28"/>
    <x v="5"/>
    <x v="1"/>
    <x v="3"/>
    <x v="18"/>
    <n v="6"/>
    <n v="90"/>
    <n v="0"/>
    <n v="540"/>
    <n v="540"/>
    <n v="60.58"/>
    <n v="176.51999999999998"/>
    <s v="Meta No Alcanzada"/>
  </r>
  <r>
    <s v="V-0059"/>
    <s v="2024-03-28"/>
    <x v="3"/>
    <x v="5"/>
    <x v="2"/>
    <x v="13"/>
    <n v="4"/>
    <n v="850"/>
    <n v="0.05"/>
    <n v="3400"/>
    <n v="3230"/>
    <n v="509.35"/>
    <n v="1192.5999999999999"/>
    <s v="Meta No Alcanzada"/>
  </r>
  <r>
    <s v="V-0060"/>
    <s v="2024-03-27"/>
    <x v="2"/>
    <x v="5"/>
    <x v="0"/>
    <x v="4"/>
    <n v="9"/>
    <n v="2800"/>
    <n v="0.05"/>
    <n v="25200"/>
    <n v="23940"/>
    <n v="1825.4"/>
    <n v="7511.3999999999978"/>
    <s v="Meta Cumplida"/>
  </r>
  <r>
    <s v="V-0061"/>
    <s v="2024-03-09"/>
    <x v="3"/>
    <x v="4"/>
    <x v="1"/>
    <x v="11"/>
    <n v="15"/>
    <n v="95"/>
    <n v="0"/>
    <n v="1425"/>
    <n v="1425"/>
    <n v="54.79"/>
    <n v="603.15"/>
    <s v="Meta Cumplida"/>
  </r>
  <r>
    <s v="V-0062"/>
    <s v="2024-03-14"/>
    <x v="1"/>
    <x v="1"/>
    <x v="0"/>
    <x v="0"/>
    <n v="6"/>
    <n v="2500"/>
    <n v="0.15"/>
    <n v="15000"/>
    <n v="12750"/>
    <n v="1669.91"/>
    <n v="2730.5399999999991"/>
    <s v="Meta No Alcanzada"/>
  </r>
  <r>
    <s v="V-0063"/>
    <s v="2024-03-14"/>
    <x v="4"/>
    <x v="3"/>
    <x v="1"/>
    <x v="1"/>
    <n v="4"/>
    <n v="180"/>
    <n v="0"/>
    <n v="720"/>
    <n v="720"/>
    <n v="100.2"/>
    <n v="319.2"/>
    <s v="Meta Cumplida"/>
  </r>
  <r>
    <s v="V-0064"/>
    <s v="2024-03-20"/>
    <x v="2"/>
    <x v="1"/>
    <x v="0"/>
    <x v="7"/>
    <n v="2"/>
    <n v="2200"/>
    <n v="0.15"/>
    <n v="4400"/>
    <n v="3740"/>
    <n v="1513.85"/>
    <n v="712.30000000000018"/>
    <s v="Meta No Alcanzada"/>
  </r>
  <r>
    <s v="V-0065"/>
    <s v="2024-03-11"/>
    <x v="0"/>
    <x v="0"/>
    <x v="4"/>
    <x v="14"/>
    <n v="9"/>
    <n v="120"/>
    <n v="0"/>
    <n v="1080"/>
    <n v="1080"/>
    <n v="78"/>
    <n v="378"/>
    <s v="Meta No Alcanzada"/>
  </r>
  <r>
    <s v="V-0066"/>
    <s v="2024-03-13"/>
    <x v="1"/>
    <x v="2"/>
    <x v="3"/>
    <x v="3"/>
    <n v="4"/>
    <n v="1800"/>
    <n v="0.05"/>
    <n v="7200"/>
    <n v="6840"/>
    <n v="1169.53"/>
    <n v="2161.88"/>
    <s v="Meta No Alcanzada"/>
  </r>
  <r>
    <s v="V-0067"/>
    <s v="2024-03-07"/>
    <x v="4"/>
    <x v="3"/>
    <x v="2"/>
    <x v="8"/>
    <n v="14"/>
    <n v="1200"/>
    <n v="0"/>
    <n v="16800"/>
    <n v="16800"/>
    <n v="714.7"/>
    <n v="6794.1999999999989"/>
    <s v="Meta Cumplida"/>
  </r>
  <r>
    <s v="V-0068"/>
    <s v="2024-03-16"/>
    <x v="4"/>
    <x v="1"/>
    <x v="3"/>
    <x v="3"/>
    <n v="8"/>
    <n v="1800"/>
    <n v="0.15"/>
    <n v="14400"/>
    <n v="12240"/>
    <n v="1047.7"/>
    <n v="3858.3999999999996"/>
    <s v="Meta Cumplida"/>
  </r>
  <r>
    <s v="V-0069"/>
    <s v="2024-03-03"/>
    <x v="2"/>
    <x v="3"/>
    <x v="2"/>
    <x v="16"/>
    <n v="11"/>
    <n v="650"/>
    <n v="0.15"/>
    <n v="7150"/>
    <n v="6077.5"/>
    <n v="417.88"/>
    <n v="1480.8199999999997"/>
    <s v="Meta Cumplida"/>
  </r>
  <r>
    <s v="V-0070"/>
    <s v="2024-03-16"/>
    <x v="5"/>
    <x v="2"/>
    <x v="2"/>
    <x v="8"/>
    <n v="3"/>
    <n v="1200"/>
    <n v="0"/>
    <n v="3600"/>
    <n v="3600"/>
    <n v="668.32"/>
    <n v="1595.04"/>
    <s v="Meta Cumplida"/>
  </r>
  <r>
    <s v="V-0071"/>
    <s v="2024-03-23"/>
    <x v="4"/>
    <x v="1"/>
    <x v="1"/>
    <x v="1"/>
    <n v="15"/>
    <n v="180"/>
    <n v="0.15"/>
    <n v="2700"/>
    <n v="2295"/>
    <n v="114.54"/>
    <n v="576.89999999999986"/>
    <s v="Meta Cumplida"/>
  </r>
  <r>
    <s v="V-0072"/>
    <s v="2024-03-25"/>
    <x v="4"/>
    <x v="2"/>
    <x v="3"/>
    <x v="19"/>
    <n v="3"/>
    <n v="480"/>
    <n v="0.15"/>
    <n v="1440"/>
    <n v="1224"/>
    <n v="313.51"/>
    <n v="283.47000000000003"/>
    <s v="Meta No Alcanzada"/>
  </r>
  <r>
    <s v="V-0073"/>
    <s v="2024-03-02"/>
    <x v="5"/>
    <x v="2"/>
    <x v="0"/>
    <x v="5"/>
    <n v="13"/>
    <n v="2100"/>
    <n v="0.15"/>
    <n v="27300"/>
    <n v="23205"/>
    <n v="1318.16"/>
    <n v="6068.9199999999983"/>
    <s v="Meta No Alcanzada"/>
  </r>
  <r>
    <s v="V-0074"/>
    <s v="2024-03-18"/>
    <x v="3"/>
    <x v="1"/>
    <x v="1"/>
    <x v="9"/>
    <n v="3"/>
    <n v="220"/>
    <n v="0.05"/>
    <n v="660"/>
    <n v="627"/>
    <n v="143.03"/>
    <n v="197.90999999999997"/>
    <s v="Meta Cumplida"/>
  </r>
  <r>
    <s v="V-0075"/>
    <s v="2024-04-18"/>
    <x v="1"/>
    <x v="5"/>
    <x v="4"/>
    <x v="10"/>
    <n v="15"/>
    <n v="220"/>
    <n v="0.1"/>
    <n v="3300"/>
    <n v="2970"/>
    <n v="135.08000000000001"/>
    <n v="943.79999999999973"/>
    <s v="Meta No Alcanzada"/>
  </r>
  <r>
    <s v="V-0076"/>
    <s v="2024-04-27"/>
    <x v="0"/>
    <x v="1"/>
    <x v="3"/>
    <x v="18"/>
    <n v="8"/>
    <n v="90"/>
    <n v="0"/>
    <n v="720"/>
    <n v="720"/>
    <n v="59.65"/>
    <n v="242.8"/>
    <s v="Meta No Alcanzada"/>
  </r>
  <r>
    <s v="V-0077"/>
    <s v="2024-04-10"/>
    <x v="0"/>
    <x v="2"/>
    <x v="4"/>
    <x v="10"/>
    <n v="5"/>
    <n v="220"/>
    <n v="0.05"/>
    <n v="1100"/>
    <n v="1045"/>
    <n v="123.56"/>
    <n v="427.20000000000005"/>
    <s v="Meta No Alcanzada"/>
  </r>
  <r>
    <s v="V-0078"/>
    <s v="2024-04-05"/>
    <x v="2"/>
    <x v="0"/>
    <x v="2"/>
    <x v="8"/>
    <n v="15"/>
    <n v="1200"/>
    <n v="0.1"/>
    <n v="18000"/>
    <n v="16200"/>
    <n v="674.5"/>
    <n v="6082.5"/>
    <s v="Meta No Alcanzada"/>
  </r>
  <r>
    <s v="V-0079"/>
    <s v="2024-04-14"/>
    <x v="0"/>
    <x v="2"/>
    <x v="2"/>
    <x v="2"/>
    <n v="12"/>
    <n v="480"/>
    <n v="0"/>
    <n v="5760"/>
    <n v="5760"/>
    <n v="268.62"/>
    <n v="2536.56"/>
    <s v="Meta Cumplida"/>
  </r>
  <r>
    <s v="V-0080"/>
    <s v="2024-04-25"/>
    <x v="4"/>
    <x v="4"/>
    <x v="4"/>
    <x v="10"/>
    <n v="4"/>
    <n v="220"/>
    <n v="0.05"/>
    <n v="880"/>
    <n v="836"/>
    <n v="133.85"/>
    <n v="300.60000000000002"/>
    <s v="Meta Cumplida"/>
  </r>
  <r>
    <s v="V-0081"/>
    <s v="2024-04-10"/>
    <x v="1"/>
    <x v="1"/>
    <x v="1"/>
    <x v="1"/>
    <n v="8"/>
    <n v="180"/>
    <n v="0"/>
    <n v="1440"/>
    <n v="1440"/>
    <n v="124.45"/>
    <n v="444.4"/>
    <s v="Meta No Alcanzada"/>
  </r>
  <r>
    <s v="V-0082"/>
    <s v="2024-04-08"/>
    <x v="1"/>
    <x v="5"/>
    <x v="3"/>
    <x v="19"/>
    <n v="12"/>
    <n v="480"/>
    <n v="0.1"/>
    <n v="5760"/>
    <n v="5184"/>
    <n v="321.58999999999997"/>
    <n v="1324.92"/>
    <s v="Meta No Alcanzada"/>
  </r>
  <r>
    <s v="V-0083"/>
    <s v="2024-04-22"/>
    <x v="2"/>
    <x v="1"/>
    <x v="3"/>
    <x v="18"/>
    <n v="8"/>
    <n v="90"/>
    <n v="0"/>
    <n v="720"/>
    <n v="720"/>
    <n v="54.75"/>
    <n v="282"/>
    <s v="Meta Cumplida"/>
  </r>
  <r>
    <s v="V-0084"/>
    <s v="2024-04-13"/>
    <x v="4"/>
    <x v="2"/>
    <x v="3"/>
    <x v="18"/>
    <n v="10"/>
    <n v="90"/>
    <n v="0.1"/>
    <n v="900"/>
    <n v="810"/>
    <n v="49.86"/>
    <n v="311.39999999999998"/>
    <s v="Meta No Alcanzada"/>
  </r>
  <r>
    <s v="V-0085"/>
    <s v="2024-04-06"/>
    <x v="3"/>
    <x v="5"/>
    <x v="1"/>
    <x v="1"/>
    <n v="7"/>
    <n v="180"/>
    <n v="0"/>
    <n v="1260"/>
    <n v="1260"/>
    <n v="122.4"/>
    <n v="403.19999999999993"/>
    <s v="Meta No Alcanzada"/>
  </r>
  <r>
    <s v="V-0086"/>
    <s v="2024-04-25"/>
    <x v="4"/>
    <x v="0"/>
    <x v="0"/>
    <x v="4"/>
    <n v="4"/>
    <n v="2800"/>
    <n v="0.05"/>
    <n v="11200"/>
    <n v="10640"/>
    <n v="1677.28"/>
    <n v="3930.88"/>
    <s v="Meta No Alcanzada"/>
  </r>
  <r>
    <s v="V-0087"/>
    <s v="2024-04-24"/>
    <x v="4"/>
    <x v="0"/>
    <x v="3"/>
    <x v="3"/>
    <n v="14"/>
    <n v="1800"/>
    <n v="0"/>
    <n v="25200"/>
    <n v="25200"/>
    <n v="1116.98"/>
    <n v="9562.2799999999988"/>
    <s v="Meta Cumplida"/>
  </r>
  <r>
    <s v="V-0088"/>
    <s v="2024-04-21"/>
    <x v="2"/>
    <x v="2"/>
    <x v="1"/>
    <x v="1"/>
    <n v="11"/>
    <n v="180"/>
    <n v="0"/>
    <n v="1980"/>
    <n v="1980"/>
    <n v="120.09"/>
    <n v="659.01"/>
    <s v="Meta Cumplida"/>
  </r>
  <r>
    <s v="V-0089"/>
    <s v="2024-04-08"/>
    <x v="5"/>
    <x v="2"/>
    <x v="0"/>
    <x v="0"/>
    <n v="14"/>
    <n v="2500"/>
    <n v="0"/>
    <n v="35000"/>
    <n v="35000"/>
    <n v="1608"/>
    <n v="12488"/>
    <s v="Meta No Alcanzada"/>
  </r>
  <r>
    <s v="V-0090"/>
    <s v="2024-04-09"/>
    <x v="0"/>
    <x v="4"/>
    <x v="2"/>
    <x v="2"/>
    <n v="10"/>
    <n v="480"/>
    <n v="0"/>
    <n v="4800"/>
    <n v="4800"/>
    <n v="297.48"/>
    <n v="1825.1999999999998"/>
    <s v="Meta Cumplida"/>
  </r>
  <r>
    <s v="V-0091"/>
    <s v="2024-04-27"/>
    <x v="1"/>
    <x v="3"/>
    <x v="4"/>
    <x v="6"/>
    <n v="12"/>
    <n v="85"/>
    <n v="0.15"/>
    <n v="1020"/>
    <n v="867"/>
    <n v="48.21"/>
    <n v="288.48"/>
    <s v="Meta Cumplida"/>
  </r>
  <r>
    <s v="V-0092"/>
    <s v="2024-04-13"/>
    <x v="3"/>
    <x v="3"/>
    <x v="2"/>
    <x v="8"/>
    <n v="1"/>
    <n v="1200"/>
    <n v="0"/>
    <n v="1200"/>
    <n v="1200"/>
    <n v="763.64"/>
    <n v="436.36"/>
    <s v="Meta No Alcanzada"/>
  </r>
  <r>
    <s v="V-0093"/>
    <s v="2024-04-23"/>
    <x v="3"/>
    <x v="3"/>
    <x v="3"/>
    <x v="18"/>
    <n v="12"/>
    <n v="90"/>
    <n v="0.15"/>
    <n v="1080"/>
    <n v="918"/>
    <n v="52.78"/>
    <n v="284.64"/>
    <s v="Meta No Alcanzada"/>
  </r>
  <r>
    <s v="V-0094"/>
    <s v="2024-04-12"/>
    <x v="1"/>
    <x v="4"/>
    <x v="4"/>
    <x v="14"/>
    <n v="6"/>
    <n v="120"/>
    <n v="0.1"/>
    <n v="720"/>
    <n v="648"/>
    <n v="73.709999999999994"/>
    <n v="205.74"/>
    <s v="Meta No Alcanzada"/>
  </r>
  <r>
    <s v="V-0095"/>
    <s v="2024-04-12"/>
    <x v="3"/>
    <x v="1"/>
    <x v="0"/>
    <x v="4"/>
    <n v="14"/>
    <n v="2800"/>
    <n v="0.05"/>
    <n v="39200"/>
    <n v="37240"/>
    <n v="1584.33"/>
    <n v="15059.380000000001"/>
    <s v="Meta No Alcanzada"/>
  </r>
  <r>
    <s v="V-0096"/>
    <s v="2024-04-09"/>
    <x v="4"/>
    <x v="2"/>
    <x v="3"/>
    <x v="18"/>
    <n v="12"/>
    <n v="90"/>
    <n v="0.1"/>
    <n v="1080"/>
    <n v="972"/>
    <n v="62.53"/>
    <n v="221.64"/>
    <s v="Meta Cumplida"/>
  </r>
  <r>
    <s v="V-0097"/>
    <s v="2024-04-11"/>
    <x v="4"/>
    <x v="1"/>
    <x v="1"/>
    <x v="15"/>
    <n v="14"/>
    <n v="320"/>
    <n v="0.15"/>
    <n v="4480"/>
    <n v="3808"/>
    <n v="204.44"/>
    <n v="945.84000000000015"/>
    <s v="Meta No Alcanzada"/>
  </r>
  <r>
    <s v="V-0098"/>
    <s v="2024-04-22"/>
    <x v="2"/>
    <x v="1"/>
    <x v="2"/>
    <x v="16"/>
    <n v="4"/>
    <n v="650"/>
    <n v="0.05"/>
    <n v="2600"/>
    <n v="2470"/>
    <n v="413.06"/>
    <n v="817.76"/>
    <s v="Meta No Alcanzada"/>
  </r>
  <r>
    <s v="V-0099"/>
    <s v="2024-04-07"/>
    <x v="3"/>
    <x v="1"/>
    <x v="3"/>
    <x v="3"/>
    <n v="14"/>
    <n v="1800"/>
    <n v="0"/>
    <n v="25200"/>
    <n v="25200"/>
    <n v="1039.0999999999999"/>
    <n v="10652.600000000002"/>
    <s v="Meta No Alcanzada"/>
  </r>
  <r>
    <s v="V-0100"/>
    <s v="2024-04-09"/>
    <x v="2"/>
    <x v="0"/>
    <x v="4"/>
    <x v="17"/>
    <n v="15"/>
    <n v="180"/>
    <n v="0.1"/>
    <n v="2700"/>
    <n v="2430"/>
    <n v="117.93"/>
    <n v="661.05"/>
    <s v="Meta Cumplida"/>
  </r>
  <r>
    <s v="V-0101"/>
    <s v="2024-04-16"/>
    <x v="1"/>
    <x v="2"/>
    <x v="1"/>
    <x v="1"/>
    <n v="2"/>
    <n v="180"/>
    <n v="0"/>
    <n v="360"/>
    <n v="360"/>
    <n v="118.44"/>
    <n v="123.12"/>
    <s v="Meta No Alcanzada"/>
  </r>
  <r>
    <s v="V-0102"/>
    <s v="2024-05-03"/>
    <x v="0"/>
    <x v="5"/>
    <x v="2"/>
    <x v="2"/>
    <n v="8"/>
    <n v="480"/>
    <n v="0.05"/>
    <n v="3840"/>
    <n v="3648"/>
    <n v="321.08999999999997"/>
    <n v="1079.2800000000002"/>
    <s v="Meta No Alcanzada"/>
  </r>
  <r>
    <s v="V-0103"/>
    <s v="2024-05-12"/>
    <x v="4"/>
    <x v="5"/>
    <x v="4"/>
    <x v="6"/>
    <n v="4"/>
    <n v="85"/>
    <n v="0"/>
    <n v="340"/>
    <n v="340"/>
    <n v="55.22"/>
    <n v="119.12"/>
    <s v="Meta Cumplida"/>
  </r>
  <r>
    <s v="V-0104"/>
    <s v="2024-05-15"/>
    <x v="4"/>
    <x v="5"/>
    <x v="3"/>
    <x v="3"/>
    <n v="9"/>
    <n v="1800"/>
    <n v="0"/>
    <n v="16200"/>
    <n v="16200"/>
    <n v="1084.99"/>
    <n v="6435.09"/>
    <s v="Meta No Alcanzada"/>
  </r>
  <r>
    <s v="V-0105"/>
    <s v="2024-05-04"/>
    <x v="2"/>
    <x v="2"/>
    <x v="4"/>
    <x v="17"/>
    <n v="2"/>
    <n v="180"/>
    <n v="0.15"/>
    <n v="360"/>
    <n v="306"/>
    <n v="104.2"/>
    <n v="97.6"/>
    <s v="Meta Cumplida"/>
  </r>
  <r>
    <s v="V-0106"/>
    <s v="2024-05-19"/>
    <x v="5"/>
    <x v="2"/>
    <x v="1"/>
    <x v="9"/>
    <n v="12"/>
    <n v="220"/>
    <n v="0.05"/>
    <n v="2640"/>
    <n v="2508"/>
    <n v="130.12"/>
    <n v="946.56"/>
    <s v="Meta No Alcanzada"/>
  </r>
  <r>
    <s v="V-0107"/>
    <s v="2024-05-10"/>
    <x v="3"/>
    <x v="2"/>
    <x v="1"/>
    <x v="11"/>
    <n v="5"/>
    <n v="95"/>
    <n v="0"/>
    <n v="475"/>
    <n v="475"/>
    <n v="57.39"/>
    <n v="188.05"/>
    <s v="Meta No Alcanzada"/>
  </r>
  <r>
    <s v="V-0108"/>
    <s v="2024-05-05"/>
    <x v="2"/>
    <x v="4"/>
    <x v="0"/>
    <x v="7"/>
    <n v="1"/>
    <n v="2200"/>
    <n v="0.1"/>
    <n v="2200"/>
    <n v="1980"/>
    <n v="1306.4100000000001"/>
    <n v="673.58999999999992"/>
    <s v="Meta No Alcanzada"/>
  </r>
  <r>
    <s v="V-0109"/>
    <s v="2024-05-11"/>
    <x v="3"/>
    <x v="3"/>
    <x v="3"/>
    <x v="12"/>
    <n v="5"/>
    <n v="350"/>
    <n v="0.05"/>
    <n v="1750"/>
    <n v="1662.5"/>
    <n v="217.63"/>
    <n v="574.34999999999991"/>
    <s v="Meta No Alcanzada"/>
  </r>
  <r>
    <s v="V-0110"/>
    <s v="2024-05-03"/>
    <x v="2"/>
    <x v="1"/>
    <x v="2"/>
    <x v="16"/>
    <n v="2"/>
    <n v="650"/>
    <n v="0"/>
    <n v="1300"/>
    <n v="1300"/>
    <n v="396.57"/>
    <n v="506.86"/>
    <s v="Meta No Alcanzada"/>
  </r>
  <r>
    <s v="V-0111"/>
    <s v="2024-05-03"/>
    <x v="5"/>
    <x v="2"/>
    <x v="1"/>
    <x v="1"/>
    <n v="13"/>
    <n v="180"/>
    <n v="0.1"/>
    <n v="2340"/>
    <n v="2106"/>
    <n v="124.63"/>
    <n v="485.80999999999995"/>
    <s v="Meta No Alcanzada"/>
  </r>
  <r>
    <s v="V-0112"/>
    <s v="2024-05-08"/>
    <x v="1"/>
    <x v="1"/>
    <x v="2"/>
    <x v="16"/>
    <n v="10"/>
    <n v="650"/>
    <n v="0.1"/>
    <n v="6500"/>
    <n v="5850"/>
    <n v="434.6"/>
    <n v="1504"/>
    <s v="Meta No Alcanzada"/>
  </r>
  <r>
    <s v="V-0113"/>
    <s v="2024-05-10"/>
    <x v="4"/>
    <x v="1"/>
    <x v="1"/>
    <x v="15"/>
    <n v="5"/>
    <n v="320"/>
    <n v="0.1"/>
    <n v="1600"/>
    <n v="1440"/>
    <n v="223.52"/>
    <n v="322.39999999999986"/>
    <s v="Meta Cumplida"/>
  </r>
  <r>
    <s v="V-0114"/>
    <s v="2024-05-09"/>
    <x v="1"/>
    <x v="5"/>
    <x v="1"/>
    <x v="1"/>
    <n v="2"/>
    <n v="180"/>
    <n v="0"/>
    <n v="360"/>
    <n v="360"/>
    <n v="115.89"/>
    <n v="128.22"/>
    <s v="Meta No Alcanzada"/>
  </r>
  <r>
    <s v="V-0115"/>
    <s v="2024-05-14"/>
    <x v="5"/>
    <x v="2"/>
    <x v="0"/>
    <x v="7"/>
    <n v="9"/>
    <n v="2200"/>
    <n v="0"/>
    <n v="19800"/>
    <n v="19800"/>
    <n v="1261.6600000000001"/>
    <n v="8445.06"/>
    <s v="Meta No Alcanzada"/>
  </r>
  <r>
    <s v="V-0116"/>
    <s v="2024-05-23"/>
    <x v="2"/>
    <x v="4"/>
    <x v="3"/>
    <x v="19"/>
    <n v="4"/>
    <n v="480"/>
    <n v="0"/>
    <n v="1920"/>
    <n v="1920"/>
    <n v="314.89999999999998"/>
    <n v="660.40000000000009"/>
    <s v="Meta Cumplida"/>
  </r>
  <r>
    <s v="V-0117"/>
    <s v="2024-05-21"/>
    <x v="0"/>
    <x v="2"/>
    <x v="3"/>
    <x v="12"/>
    <n v="15"/>
    <n v="350"/>
    <n v="0"/>
    <n v="5250"/>
    <n v="5250"/>
    <n v="233.86"/>
    <n v="1742.1"/>
    <s v="Meta No Alcanzada"/>
  </r>
  <r>
    <s v="V-0118"/>
    <s v="2024-05-09"/>
    <x v="4"/>
    <x v="4"/>
    <x v="1"/>
    <x v="9"/>
    <n v="9"/>
    <n v="220"/>
    <n v="0"/>
    <n v="1980"/>
    <n v="1980"/>
    <n v="142.37"/>
    <n v="698.67000000000007"/>
    <s v="Meta Cumplida"/>
  </r>
  <r>
    <s v="V-0119"/>
    <s v="2024-05-27"/>
    <x v="3"/>
    <x v="2"/>
    <x v="2"/>
    <x v="16"/>
    <n v="13"/>
    <n v="650"/>
    <n v="0"/>
    <n v="8450"/>
    <n v="8450"/>
    <n v="415.52"/>
    <n v="3048.24"/>
    <s v="Meta No Alcanzada"/>
  </r>
  <r>
    <s v="V-0120"/>
    <s v="2024-05-13"/>
    <x v="4"/>
    <x v="4"/>
    <x v="1"/>
    <x v="11"/>
    <n v="8"/>
    <n v="95"/>
    <n v="0.15"/>
    <n v="760"/>
    <n v="646"/>
    <n v="56.58"/>
    <n v="193.36"/>
    <s v="Meta Cumplida"/>
  </r>
  <r>
    <s v="V-0121"/>
    <s v="2024-05-24"/>
    <x v="4"/>
    <x v="4"/>
    <x v="4"/>
    <x v="10"/>
    <n v="10"/>
    <n v="220"/>
    <n v="0"/>
    <n v="2200"/>
    <n v="2200"/>
    <n v="150.35"/>
    <n v="696.5"/>
    <s v="Meta No Alcanzada"/>
  </r>
  <r>
    <s v="V-0122"/>
    <s v="2024-05-19"/>
    <x v="3"/>
    <x v="4"/>
    <x v="4"/>
    <x v="17"/>
    <n v="4"/>
    <n v="180"/>
    <n v="0.15"/>
    <n v="720"/>
    <n v="612"/>
    <n v="121.57"/>
    <n v="125.72000000000003"/>
    <s v="Meta No Alcanzada"/>
  </r>
  <r>
    <s v="V-0123"/>
    <s v="2024-05-06"/>
    <x v="0"/>
    <x v="0"/>
    <x v="1"/>
    <x v="1"/>
    <n v="10"/>
    <n v="180"/>
    <n v="0"/>
    <n v="1800"/>
    <n v="1800"/>
    <n v="119.6"/>
    <n v="604"/>
    <s v="Meta No Alcanzada"/>
  </r>
  <r>
    <s v="V-0124"/>
    <s v="2024-05-16"/>
    <x v="2"/>
    <x v="2"/>
    <x v="3"/>
    <x v="19"/>
    <n v="10"/>
    <n v="480"/>
    <n v="0.05"/>
    <n v="4800"/>
    <n v="4560"/>
    <n v="309.7"/>
    <n v="1463"/>
    <s v="Meta No Alcanzada"/>
  </r>
  <r>
    <s v="V-0125"/>
    <s v="2024-05-28"/>
    <x v="2"/>
    <x v="1"/>
    <x v="0"/>
    <x v="5"/>
    <n v="6"/>
    <n v="2100"/>
    <n v="0"/>
    <n v="12600"/>
    <n v="12600"/>
    <n v="1366.09"/>
    <n v="4403.4600000000009"/>
    <s v="Meta Cumplida"/>
  </r>
  <r>
    <s v="V-0126"/>
    <s v="2024-05-13"/>
    <x v="4"/>
    <x v="5"/>
    <x v="2"/>
    <x v="8"/>
    <n v="8"/>
    <n v="1200"/>
    <n v="0"/>
    <n v="9600"/>
    <n v="9600"/>
    <n v="779.27"/>
    <n v="3365.84"/>
    <s v="Meta Cumplida"/>
  </r>
  <r>
    <s v="V-0127"/>
    <s v="2024-05-25"/>
    <x v="4"/>
    <x v="4"/>
    <x v="1"/>
    <x v="1"/>
    <n v="6"/>
    <n v="180"/>
    <n v="0"/>
    <n v="1080"/>
    <n v="1080"/>
    <n v="107.73"/>
    <n v="433.62"/>
    <s v="Meta Cumplida"/>
  </r>
  <r>
    <s v="V-0128"/>
    <s v="2024-06-17"/>
    <x v="0"/>
    <x v="3"/>
    <x v="1"/>
    <x v="1"/>
    <n v="8"/>
    <n v="180"/>
    <n v="0.05"/>
    <n v="1440"/>
    <n v="1368"/>
    <n v="100.46"/>
    <n v="564.32000000000005"/>
    <s v="Meta No Alcanzada"/>
  </r>
  <r>
    <s v="V-0129"/>
    <s v="2024-06-18"/>
    <x v="0"/>
    <x v="1"/>
    <x v="4"/>
    <x v="10"/>
    <n v="13"/>
    <n v="220"/>
    <n v="0"/>
    <n v="2860"/>
    <n v="2860"/>
    <n v="127.72"/>
    <n v="1199.6400000000001"/>
    <s v="Meta No Alcanzada"/>
  </r>
  <r>
    <s v="V-0130"/>
    <s v="2024-06-21"/>
    <x v="4"/>
    <x v="5"/>
    <x v="2"/>
    <x v="8"/>
    <n v="8"/>
    <n v="1200"/>
    <n v="0"/>
    <n v="9600"/>
    <n v="9600"/>
    <n v="665.2"/>
    <n v="4278.3999999999996"/>
    <s v="Meta Cumplida"/>
  </r>
  <r>
    <s v="V-0131"/>
    <s v="2024-06-14"/>
    <x v="0"/>
    <x v="2"/>
    <x v="1"/>
    <x v="9"/>
    <n v="5"/>
    <n v="220"/>
    <n v="0.1"/>
    <n v="1100"/>
    <n v="990"/>
    <n v="121.45"/>
    <n v="382.75"/>
    <s v="Meta Cumplida"/>
  </r>
  <r>
    <s v="V-0132"/>
    <s v="2024-06-16"/>
    <x v="3"/>
    <x v="1"/>
    <x v="0"/>
    <x v="7"/>
    <n v="2"/>
    <n v="2200"/>
    <n v="0.15"/>
    <n v="4400"/>
    <n v="3740"/>
    <n v="1484.61"/>
    <n v="770.7800000000002"/>
    <s v="Meta No Alcanzada"/>
  </r>
  <r>
    <s v="V-0133"/>
    <s v="2024-06-05"/>
    <x v="4"/>
    <x v="1"/>
    <x v="4"/>
    <x v="17"/>
    <n v="8"/>
    <n v="180"/>
    <n v="0"/>
    <n v="1440"/>
    <n v="1440"/>
    <n v="111.33"/>
    <n v="549.36"/>
    <s v="Meta No Alcanzada"/>
  </r>
  <r>
    <s v="V-0134"/>
    <s v="2024-06-09"/>
    <x v="1"/>
    <x v="3"/>
    <x v="3"/>
    <x v="18"/>
    <n v="12"/>
    <n v="90"/>
    <n v="0"/>
    <n v="1080"/>
    <n v="1080"/>
    <n v="61.16"/>
    <n v="346.08000000000004"/>
    <s v="Meta No Alcanzada"/>
  </r>
  <r>
    <s v="V-0135"/>
    <s v="2024-06-10"/>
    <x v="1"/>
    <x v="0"/>
    <x v="3"/>
    <x v="3"/>
    <n v="14"/>
    <n v="1800"/>
    <n v="0"/>
    <n v="25200"/>
    <n v="25200"/>
    <n v="1066.3699999999999"/>
    <n v="10270.820000000002"/>
    <s v="Meta No Alcanzada"/>
  </r>
  <r>
    <s v="V-0136"/>
    <s v="2024-06-18"/>
    <x v="5"/>
    <x v="1"/>
    <x v="1"/>
    <x v="15"/>
    <n v="9"/>
    <n v="320"/>
    <n v="0.05"/>
    <n v="2880"/>
    <n v="2736"/>
    <n v="192.57"/>
    <n v="1002.8700000000001"/>
    <s v="Meta Cumplida"/>
  </r>
  <r>
    <s v="V-0137"/>
    <s v="2024-06-08"/>
    <x v="4"/>
    <x v="0"/>
    <x v="1"/>
    <x v="15"/>
    <n v="14"/>
    <n v="320"/>
    <n v="0"/>
    <n v="4480"/>
    <n v="4480"/>
    <n v="223.08"/>
    <n v="1356.8799999999997"/>
    <s v="Meta Cumplida"/>
  </r>
  <r>
    <s v="V-0138"/>
    <s v="2024-06-23"/>
    <x v="5"/>
    <x v="1"/>
    <x v="1"/>
    <x v="15"/>
    <n v="1"/>
    <n v="320"/>
    <n v="0"/>
    <n v="320"/>
    <n v="320"/>
    <n v="211.75"/>
    <n v="108.25"/>
    <s v="Meta Cumplida"/>
  </r>
  <r>
    <s v="V-0139"/>
    <s v="2024-06-05"/>
    <x v="0"/>
    <x v="5"/>
    <x v="3"/>
    <x v="19"/>
    <n v="3"/>
    <n v="480"/>
    <n v="0.05"/>
    <n v="1440"/>
    <n v="1368"/>
    <n v="333.47"/>
    <n v="367.58999999999992"/>
    <s v="Meta No Alcanzada"/>
  </r>
  <r>
    <s v="V-0140"/>
    <s v="2024-06-01"/>
    <x v="3"/>
    <x v="1"/>
    <x v="1"/>
    <x v="11"/>
    <n v="2"/>
    <n v="95"/>
    <n v="0.1"/>
    <n v="190"/>
    <n v="171"/>
    <n v="65.22"/>
    <n v="40.56"/>
    <s v="Meta No Alcanzada"/>
  </r>
  <r>
    <s v="V-0141"/>
    <s v="2024-06-09"/>
    <x v="0"/>
    <x v="2"/>
    <x v="2"/>
    <x v="2"/>
    <n v="2"/>
    <n v="480"/>
    <n v="0.05"/>
    <n v="960"/>
    <n v="912"/>
    <n v="320.27"/>
    <n v="271.46000000000004"/>
    <s v="Meta No Alcanzada"/>
  </r>
  <r>
    <s v="V-0142"/>
    <s v="2024-06-28"/>
    <x v="0"/>
    <x v="4"/>
    <x v="4"/>
    <x v="10"/>
    <n v="14"/>
    <n v="220"/>
    <n v="0"/>
    <n v="3080"/>
    <n v="3080"/>
    <n v="149.13"/>
    <n v="992.18000000000029"/>
    <s v="Meta No Alcanzada"/>
  </r>
  <r>
    <s v="V-0143"/>
    <s v="2024-06-02"/>
    <x v="2"/>
    <x v="5"/>
    <x v="1"/>
    <x v="15"/>
    <n v="12"/>
    <n v="320"/>
    <n v="0.05"/>
    <n v="3840"/>
    <n v="3648"/>
    <n v="217.87"/>
    <n v="1033.56"/>
    <s v="Meta No Alcanzada"/>
  </r>
  <r>
    <s v="V-0144"/>
    <s v="2024-06-24"/>
    <x v="5"/>
    <x v="5"/>
    <x v="1"/>
    <x v="1"/>
    <n v="11"/>
    <n v="180"/>
    <n v="0"/>
    <n v="1980"/>
    <n v="1980"/>
    <n v="125.93"/>
    <n v="594.77"/>
    <s v="Meta Cumplida"/>
  </r>
  <r>
    <s v="V-0145"/>
    <s v="2024-06-23"/>
    <x v="3"/>
    <x v="5"/>
    <x v="0"/>
    <x v="5"/>
    <n v="12"/>
    <n v="2100"/>
    <n v="0"/>
    <n v="25200"/>
    <n v="25200"/>
    <n v="1294.76"/>
    <n v="9662.880000000001"/>
    <s v="Meta No Alcanzada"/>
  </r>
  <r>
    <s v="V-0146"/>
    <s v="2024-06-12"/>
    <x v="3"/>
    <x v="0"/>
    <x v="4"/>
    <x v="14"/>
    <n v="13"/>
    <n v="120"/>
    <n v="0"/>
    <n v="1560"/>
    <n v="1560"/>
    <n v="71.28"/>
    <n v="633.36"/>
    <s v="Meta Cumplida"/>
  </r>
  <r>
    <s v="V-0147"/>
    <s v="2024-06-06"/>
    <x v="5"/>
    <x v="3"/>
    <x v="3"/>
    <x v="18"/>
    <n v="7"/>
    <n v="90"/>
    <n v="0.1"/>
    <n v="630"/>
    <n v="567"/>
    <n v="58.7"/>
    <n v="156.09999999999997"/>
    <s v="Meta No Alcanzada"/>
  </r>
  <r>
    <s v="V-0148"/>
    <s v="2024-06-08"/>
    <x v="3"/>
    <x v="3"/>
    <x v="2"/>
    <x v="13"/>
    <n v="14"/>
    <n v="850"/>
    <n v="0.05"/>
    <n v="11900"/>
    <n v="11305"/>
    <n v="546.51"/>
    <n v="3653.8600000000006"/>
    <s v="Meta No Alcanzada"/>
  </r>
  <r>
    <s v="V-0149"/>
    <s v="2024-06-22"/>
    <x v="5"/>
    <x v="1"/>
    <x v="3"/>
    <x v="18"/>
    <n v="11"/>
    <n v="90"/>
    <n v="0"/>
    <n v="990"/>
    <n v="990"/>
    <n v="55.7"/>
    <n v="377.29999999999995"/>
    <s v="Meta Cumplida"/>
  </r>
  <r>
    <s v="V-0150"/>
    <s v="2024-06-12"/>
    <x v="2"/>
    <x v="5"/>
    <x v="0"/>
    <x v="5"/>
    <n v="9"/>
    <n v="2100"/>
    <n v="0"/>
    <n v="18900"/>
    <n v="18900"/>
    <n v="1178.27"/>
    <n v="8295.57"/>
    <s v="Meta No Alcanzada"/>
  </r>
  <r>
    <s v="V-0151"/>
    <s v="2024-06-10"/>
    <x v="0"/>
    <x v="1"/>
    <x v="1"/>
    <x v="11"/>
    <n v="12"/>
    <n v="95"/>
    <n v="0"/>
    <n v="1140"/>
    <n v="1140"/>
    <n v="58.76"/>
    <n v="434.88"/>
    <s v="Meta Cumplida"/>
  </r>
  <r>
    <s v="V-0152"/>
    <s v="2024-07-10"/>
    <x v="3"/>
    <x v="2"/>
    <x v="3"/>
    <x v="19"/>
    <n v="7"/>
    <n v="480"/>
    <n v="0.1"/>
    <n v="3360"/>
    <n v="3024"/>
    <n v="289.85000000000002"/>
    <n v="995.04999999999973"/>
    <s v="Meta No Alcanzada"/>
  </r>
  <r>
    <s v="V-0153"/>
    <s v="2024-07-22"/>
    <x v="0"/>
    <x v="1"/>
    <x v="4"/>
    <x v="14"/>
    <n v="5"/>
    <n v="120"/>
    <n v="0"/>
    <n v="600"/>
    <n v="600"/>
    <n v="76.19"/>
    <n v="219.05"/>
    <s v="Meta No Alcanzada"/>
  </r>
  <r>
    <s v="V-0154"/>
    <s v="2024-07-07"/>
    <x v="2"/>
    <x v="2"/>
    <x v="0"/>
    <x v="5"/>
    <n v="10"/>
    <n v="2100"/>
    <n v="0"/>
    <n v="21000"/>
    <n v="21000"/>
    <n v="1223.99"/>
    <n v="8760.1"/>
    <s v="Meta No Alcanzada"/>
  </r>
  <r>
    <s v="V-0155"/>
    <s v="2024-07-05"/>
    <x v="0"/>
    <x v="5"/>
    <x v="1"/>
    <x v="11"/>
    <n v="13"/>
    <n v="95"/>
    <n v="0.15"/>
    <n v="1235"/>
    <n v="1049.75"/>
    <n v="61.95"/>
    <n v="244.39999999999998"/>
    <s v="Meta Cumplida"/>
  </r>
  <r>
    <s v="V-0156"/>
    <s v="2024-07-05"/>
    <x v="2"/>
    <x v="1"/>
    <x v="0"/>
    <x v="0"/>
    <n v="1"/>
    <n v="2500"/>
    <n v="0.1"/>
    <n v="2500"/>
    <n v="2250"/>
    <n v="1511.82"/>
    <n v="738.18000000000006"/>
    <s v="Meta No Alcanzada"/>
  </r>
  <r>
    <s v="V-0157"/>
    <s v="2024-07-26"/>
    <x v="2"/>
    <x v="5"/>
    <x v="0"/>
    <x v="4"/>
    <n v="7"/>
    <n v="2800"/>
    <n v="0"/>
    <n v="19600"/>
    <n v="19600"/>
    <n v="1624.33"/>
    <n v="8229.69"/>
    <s v="Meta No Alcanzada"/>
  </r>
  <r>
    <s v="V-0158"/>
    <s v="2024-07-09"/>
    <x v="1"/>
    <x v="3"/>
    <x v="1"/>
    <x v="11"/>
    <n v="15"/>
    <n v="95"/>
    <n v="0"/>
    <n v="1425"/>
    <n v="1425"/>
    <n v="64.08"/>
    <n v="463.80000000000007"/>
    <s v="Meta Cumplida"/>
  </r>
  <r>
    <s v="V-0159"/>
    <s v="2024-07-03"/>
    <x v="0"/>
    <x v="0"/>
    <x v="3"/>
    <x v="3"/>
    <n v="13"/>
    <n v="1800"/>
    <n v="0"/>
    <n v="23400"/>
    <n v="23400"/>
    <n v="1116.45"/>
    <n v="8886.15"/>
    <s v="Meta No Alcanzada"/>
  </r>
  <r>
    <s v="V-0160"/>
    <s v="2024-07-26"/>
    <x v="0"/>
    <x v="5"/>
    <x v="2"/>
    <x v="13"/>
    <n v="11"/>
    <n v="850"/>
    <n v="0.05"/>
    <n v="9350"/>
    <n v="8882.5"/>
    <n v="590.83000000000004"/>
    <n v="2383.37"/>
    <s v="Meta Cumplida"/>
  </r>
  <r>
    <s v="V-0161"/>
    <s v="2024-07-15"/>
    <x v="3"/>
    <x v="1"/>
    <x v="1"/>
    <x v="11"/>
    <n v="1"/>
    <n v="95"/>
    <n v="0"/>
    <n v="95"/>
    <n v="95"/>
    <n v="59.9"/>
    <n v="35.1"/>
    <s v="Meta Cumplida"/>
  </r>
  <r>
    <s v="V-0162"/>
    <s v="2024-07-04"/>
    <x v="1"/>
    <x v="1"/>
    <x v="4"/>
    <x v="17"/>
    <n v="14"/>
    <n v="180"/>
    <n v="0.15"/>
    <n v="2520"/>
    <n v="2142"/>
    <n v="124.39"/>
    <n v="400.53999999999996"/>
    <s v="Meta No Alcanzada"/>
  </r>
  <r>
    <s v="V-0163"/>
    <s v="2024-07-20"/>
    <x v="3"/>
    <x v="3"/>
    <x v="2"/>
    <x v="2"/>
    <n v="15"/>
    <n v="480"/>
    <n v="0.1"/>
    <n v="7200"/>
    <n v="6480"/>
    <n v="287.62"/>
    <n v="2165.6999999999998"/>
    <s v="Meta No Alcanzada"/>
  </r>
  <r>
    <s v="V-0164"/>
    <s v="2024-07-14"/>
    <x v="0"/>
    <x v="1"/>
    <x v="2"/>
    <x v="16"/>
    <n v="15"/>
    <n v="650"/>
    <n v="0.15"/>
    <n v="9750"/>
    <n v="8287.5"/>
    <n v="386.96"/>
    <n v="2483.1000000000004"/>
    <s v="Meta Cumplida"/>
  </r>
  <r>
    <s v="V-0165"/>
    <s v="2024-07-08"/>
    <x v="3"/>
    <x v="4"/>
    <x v="0"/>
    <x v="7"/>
    <n v="5"/>
    <n v="2200"/>
    <n v="0.05"/>
    <n v="11000"/>
    <n v="10450"/>
    <n v="1248.32"/>
    <n v="4208.4000000000005"/>
    <s v="Meta Cumplida"/>
  </r>
  <r>
    <s v="V-0166"/>
    <s v="2024-07-23"/>
    <x v="4"/>
    <x v="1"/>
    <x v="1"/>
    <x v="9"/>
    <n v="6"/>
    <n v="220"/>
    <n v="0.15"/>
    <n v="1320"/>
    <n v="1122"/>
    <n v="152.33000000000001"/>
    <n v="208.01999999999998"/>
    <s v="Meta Cumplida"/>
  </r>
  <r>
    <s v="V-0167"/>
    <s v="2024-07-21"/>
    <x v="1"/>
    <x v="5"/>
    <x v="1"/>
    <x v="15"/>
    <n v="12"/>
    <n v="320"/>
    <n v="0"/>
    <n v="3840"/>
    <n v="3840"/>
    <n v="218.5"/>
    <n v="1218"/>
    <s v="Meta No Alcanzada"/>
  </r>
  <r>
    <s v="V-0168"/>
    <s v="2024-07-07"/>
    <x v="1"/>
    <x v="1"/>
    <x v="0"/>
    <x v="5"/>
    <n v="5"/>
    <n v="2100"/>
    <n v="0"/>
    <n v="10500"/>
    <n v="10500"/>
    <n v="1372.44"/>
    <n v="3637.7999999999993"/>
    <s v="Meta Cumplida"/>
  </r>
  <r>
    <s v="V-0169"/>
    <s v="2024-07-21"/>
    <x v="5"/>
    <x v="0"/>
    <x v="3"/>
    <x v="19"/>
    <n v="2"/>
    <n v="480"/>
    <n v="0.15"/>
    <n v="960"/>
    <n v="816"/>
    <n v="290.45"/>
    <n v="235.10000000000002"/>
    <s v="Meta Cumplida"/>
  </r>
  <r>
    <s v="V-0170"/>
    <s v="2024-07-27"/>
    <x v="4"/>
    <x v="0"/>
    <x v="4"/>
    <x v="14"/>
    <n v="4"/>
    <n v="120"/>
    <n v="0"/>
    <n v="480"/>
    <n v="480"/>
    <n v="83.08"/>
    <n v="147.68"/>
    <s v="Meta No Alcanzada"/>
  </r>
  <r>
    <s v="V-0171"/>
    <s v="2024-07-01"/>
    <x v="0"/>
    <x v="2"/>
    <x v="3"/>
    <x v="12"/>
    <n v="11"/>
    <n v="350"/>
    <n v="0.15"/>
    <n v="3850"/>
    <n v="3272.5"/>
    <n v="223.85"/>
    <n v="810.15000000000009"/>
    <s v="Meta No Alcanzada"/>
  </r>
  <r>
    <s v="V-0172"/>
    <s v="2024-07-27"/>
    <x v="5"/>
    <x v="2"/>
    <x v="0"/>
    <x v="4"/>
    <n v="13"/>
    <n v="2800"/>
    <n v="0.1"/>
    <n v="36400"/>
    <n v="32760"/>
    <n v="1626.19"/>
    <n v="11619.529999999999"/>
    <s v="Meta No Alcanzada"/>
  </r>
  <r>
    <s v="V-0173"/>
    <s v="2024-08-20"/>
    <x v="5"/>
    <x v="0"/>
    <x v="2"/>
    <x v="13"/>
    <n v="13"/>
    <n v="850"/>
    <n v="0"/>
    <n v="11050"/>
    <n v="11050"/>
    <n v="568.04999999999995"/>
    <n v="3665.3500000000004"/>
    <s v="Meta Cumplida"/>
  </r>
  <r>
    <s v="V-0174"/>
    <s v="2024-08-04"/>
    <x v="5"/>
    <x v="2"/>
    <x v="0"/>
    <x v="4"/>
    <n v="9"/>
    <n v="2800"/>
    <n v="0"/>
    <n v="25200"/>
    <n v="25200"/>
    <n v="1875.38"/>
    <n v="8321.5799999999981"/>
    <s v="Meta Cumplida"/>
  </r>
  <r>
    <s v="V-0175"/>
    <s v="2024-08-01"/>
    <x v="3"/>
    <x v="0"/>
    <x v="0"/>
    <x v="7"/>
    <n v="13"/>
    <n v="2200"/>
    <n v="0"/>
    <n v="28600"/>
    <n v="28600"/>
    <n v="1404.32"/>
    <n v="10343.84"/>
    <s v="Meta Cumplida"/>
  </r>
  <r>
    <s v="V-0176"/>
    <s v="2024-08-24"/>
    <x v="3"/>
    <x v="2"/>
    <x v="2"/>
    <x v="8"/>
    <n v="12"/>
    <n v="1200"/>
    <n v="0.05"/>
    <n v="14400"/>
    <n v="13680"/>
    <n v="754.7"/>
    <n v="4623.5999999999985"/>
    <s v="Meta Cumplida"/>
  </r>
  <r>
    <s v="V-0177"/>
    <s v="2024-08-17"/>
    <x v="4"/>
    <x v="0"/>
    <x v="0"/>
    <x v="5"/>
    <n v="9"/>
    <n v="2100"/>
    <n v="0.1"/>
    <n v="18900"/>
    <n v="17010"/>
    <n v="1189.3499999999999"/>
    <n v="6305.85"/>
    <s v="Meta Cumplida"/>
  </r>
  <r>
    <s v="V-0178"/>
    <s v="2024-08-01"/>
    <x v="0"/>
    <x v="5"/>
    <x v="2"/>
    <x v="16"/>
    <n v="9"/>
    <n v="650"/>
    <n v="0"/>
    <n v="5850"/>
    <n v="5850"/>
    <n v="402.16"/>
    <n v="2230.56"/>
    <s v="Meta Cumplida"/>
  </r>
  <r>
    <s v="V-0179"/>
    <s v="2024-08-15"/>
    <x v="4"/>
    <x v="1"/>
    <x v="0"/>
    <x v="5"/>
    <n v="11"/>
    <n v="2100"/>
    <n v="0"/>
    <n v="23100"/>
    <n v="23100"/>
    <n v="1309.43"/>
    <n v="8696.2699999999986"/>
    <s v="Meta Cumplida"/>
  </r>
  <r>
    <s v="V-0180"/>
    <s v="2024-08-20"/>
    <x v="2"/>
    <x v="3"/>
    <x v="0"/>
    <x v="0"/>
    <n v="3"/>
    <n v="2500"/>
    <n v="0"/>
    <n v="7500"/>
    <n v="7500"/>
    <n v="1422.32"/>
    <n v="3233.04"/>
    <s v="Meta Cumplida"/>
  </r>
  <r>
    <s v="V-0181"/>
    <s v="2024-08-20"/>
    <x v="4"/>
    <x v="3"/>
    <x v="1"/>
    <x v="11"/>
    <n v="9"/>
    <n v="95"/>
    <n v="0"/>
    <n v="855"/>
    <n v="855"/>
    <n v="58.72"/>
    <n v="326.52"/>
    <s v="Meta Cumplida"/>
  </r>
  <r>
    <s v="V-0182"/>
    <s v="2024-08-25"/>
    <x v="0"/>
    <x v="4"/>
    <x v="3"/>
    <x v="12"/>
    <n v="14"/>
    <n v="350"/>
    <n v="0.15"/>
    <n v="4900"/>
    <n v="4165"/>
    <n v="226.67"/>
    <n v="991.62000000000035"/>
    <s v="Meta No Alcanzada"/>
  </r>
  <r>
    <s v="V-0183"/>
    <s v="2024-08-27"/>
    <x v="4"/>
    <x v="1"/>
    <x v="1"/>
    <x v="9"/>
    <n v="15"/>
    <n v="220"/>
    <n v="0"/>
    <n v="3300"/>
    <n v="3300"/>
    <n v="134.66"/>
    <n v="1280.1000000000001"/>
    <s v="Meta No Alcanzada"/>
  </r>
  <r>
    <s v="V-0184"/>
    <s v="2024-08-22"/>
    <x v="4"/>
    <x v="5"/>
    <x v="3"/>
    <x v="19"/>
    <n v="2"/>
    <n v="480"/>
    <n v="0"/>
    <n v="960"/>
    <n v="960"/>
    <n v="294.73"/>
    <n v="370.53999999999996"/>
    <s v="Meta Cumplida"/>
  </r>
  <r>
    <s v="V-0185"/>
    <s v="2024-08-27"/>
    <x v="5"/>
    <x v="5"/>
    <x v="4"/>
    <x v="17"/>
    <n v="15"/>
    <n v="180"/>
    <n v="0.05"/>
    <n v="2700"/>
    <n v="2565"/>
    <n v="100.81"/>
    <n v="1052.8499999999999"/>
    <s v="Meta No Alcanzada"/>
  </r>
  <r>
    <s v="V-0186"/>
    <s v="2024-08-05"/>
    <x v="4"/>
    <x v="4"/>
    <x v="0"/>
    <x v="0"/>
    <n v="12"/>
    <n v="2500"/>
    <n v="0.15"/>
    <n v="30000"/>
    <n v="25500"/>
    <n v="1514.74"/>
    <n v="7323.119999999999"/>
    <s v="Meta Cumplida"/>
  </r>
  <r>
    <s v="V-0187"/>
    <s v="2024-08-14"/>
    <x v="1"/>
    <x v="3"/>
    <x v="1"/>
    <x v="1"/>
    <n v="9"/>
    <n v="180"/>
    <n v="0"/>
    <n v="1620"/>
    <n v="1620"/>
    <n v="117.09"/>
    <n v="566.19000000000005"/>
    <s v="Meta Cumplida"/>
  </r>
  <r>
    <s v="V-0188"/>
    <s v="2024-08-04"/>
    <x v="0"/>
    <x v="4"/>
    <x v="4"/>
    <x v="10"/>
    <n v="5"/>
    <n v="220"/>
    <n v="0.1"/>
    <n v="1100"/>
    <n v="990"/>
    <n v="131.31"/>
    <n v="333.45000000000005"/>
    <s v="Meta No Alcanzada"/>
  </r>
  <r>
    <s v="V-0189"/>
    <s v="2024-08-12"/>
    <x v="5"/>
    <x v="5"/>
    <x v="1"/>
    <x v="9"/>
    <n v="8"/>
    <n v="220"/>
    <n v="0"/>
    <n v="1760"/>
    <n v="1760"/>
    <n v="148.96"/>
    <n v="568.31999999999994"/>
    <s v="Meta No Alcanzada"/>
  </r>
  <r>
    <s v="V-0190"/>
    <s v="2024-08-28"/>
    <x v="3"/>
    <x v="0"/>
    <x v="1"/>
    <x v="11"/>
    <n v="10"/>
    <n v="95"/>
    <n v="0"/>
    <n v="950"/>
    <n v="950"/>
    <n v="63.75"/>
    <n v="312.5"/>
    <s v="Meta No Alcanzada"/>
  </r>
  <r>
    <s v="V-0191"/>
    <s v="2024-08-06"/>
    <x v="1"/>
    <x v="5"/>
    <x v="1"/>
    <x v="1"/>
    <n v="14"/>
    <n v="180"/>
    <n v="0.15"/>
    <n v="2520"/>
    <n v="2142"/>
    <n v="106.22"/>
    <n v="654.92000000000007"/>
    <s v="Meta No Alcanzada"/>
  </r>
  <r>
    <s v="V-0192"/>
    <s v="2024-08-19"/>
    <x v="2"/>
    <x v="0"/>
    <x v="4"/>
    <x v="17"/>
    <n v="1"/>
    <n v="180"/>
    <n v="0"/>
    <n v="180"/>
    <n v="180"/>
    <n v="122.49"/>
    <n v="57.510000000000005"/>
    <s v="Meta No Alcanzada"/>
  </r>
  <r>
    <s v="V-0193"/>
    <s v="2024-08-17"/>
    <x v="5"/>
    <x v="5"/>
    <x v="3"/>
    <x v="12"/>
    <n v="11"/>
    <n v="350"/>
    <n v="0"/>
    <n v="3850"/>
    <n v="3850"/>
    <n v="197.32"/>
    <n v="1679.48"/>
    <s v="Meta No Alcanzada"/>
  </r>
  <r>
    <s v="V-0194"/>
    <s v="2024-08-24"/>
    <x v="4"/>
    <x v="1"/>
    <x v="2"/>
    <x v="2"/>
    <n v="6"/>
    <n v="480"/>
    <n v="0"/>
    <n v="2880"/>
    <n v="2880"/>
    <n v="290.64"/>
    <n v="1136.1600000000001"/>
    <s v="Meta Cumplida"/>
  </r>
  <r>
    <s v="V-0195"/>
    <s v="2024-08-03"/>
    <x v="3"/>
    <x v="2"/>
    <x v="4"/>
    <x v="14"/>
    <n v="3"/>
    <n v="120"/>
    <n v="0.1"/>
    <n v="360"/>
    <n v="324"/>
    <n v="66.900000000000006"/>
    <n v="123.29999999999998"/>
    <s v="Meta Cumplida"/>
  </r>
  <r>
    <s v="V-0196"/>
    <s v="2024-08-09"/>
    <x v="0"/>
    <x v="1"/>
    <x v="4"/>
    <x v="10"/>
    <n v="8"/>
    <n v="220"/>
    <n v="0.1"/>
    <n v="1760"/>
    <n v="1584"/>
    <n v="135.59"/>
    <n v="499.28"/>
    <s v="Meta No Alcanzada"/>
  </r>
  <r>
    <s v="V-0197"/>
    <s v="2024-08-19"/>
    <x v="2"/>
    <x v="1"/>
    <x v="2"/>
    <x v="16"/>
    <n v="2"/>
    <n v="650"/>
    <n v="0"/>
    <n v="1300"/>
    <n v="1300"/>
    <n v="423.63"/>
    <n v="452.74"/>
    <s v="Meta No Alcanzada"/>
  </r>
  <r>
    <s v="V-0198"/>
    <s v="2024-08-07"/>
    <x v="3"/>
    <x v="2"/>
    <x v="3"/>
    <x v="3"/>
    <n v="7"/>
    <n v="1800"/>
    <n v="0.1"/>
    <n v="12600"/>
    <n v="11340"/>
    <n v="1004.79"/>
    <n v="4306.47"/>
    <s v="Meta No Alcanzada"/>
  </r>
  <r>
    <s v="V-0199"/>
    <s v="2024-09-24"/>
    <x v="2"/>
    <x v="0"/>
    <x v="2"/>
    <x v="13"/>
    <n v="6"/>
    <n v="850"/>
    <n v="0"/>
    <n v="5100"/>
    <n v="5100"/>
    <n v="468.49"/>
    <n v="2289.06"/>
    <s v="Meta Cumplida"/>
  </r>
  <r>
    <s v="V-0200"/>
    <s v="2024-09-18"/>
    <x v="5"/>
    <x v="1"/>
    <x v="3"/>
    <x v="18"/>
    <n v="9"/>
    <n v="90"/>
    <n v="0.15"/>
    <n v="810"/>
    <n v="688.5"/>
    <n v="52.61"/>
    <n v="215.01"/>
    <s v="Meta Cumplida"/>
  </r>
  <r>
    <s v="V-0201"/>
    <s v="2024-09-03"/>
    <x v="4"/>
    <x v="5"/>
    <x v="4"/>
    <x v="14"/>
    <n v="1"/>
    <n v="120"/>
    <n v="0.05"/>
    <n v="120"/>
    <n v="114"/>
    <n v="66.34"/>
    <n v="47.66"/>
    <s v="Meta No Alcanzada"/>
  </r>
  <r>
    <s v="V-0202"/>
    <s v="2024-09-04"/>
    <x v="1"/>
    <x v="1"/>
    <x v="4"/>
    <x v="10"/>
    <n v="12"/>
    <n v="220"/>
    <n v="0.15"/>
    <n v="2640"/>
    <n v="2244"/>
    <n v="134.78"/>
    <n v="626.63999999999987"/>
    <s v="Meta No Alcanzada"/>
  </r>
  <r>
    <s v="V-0203"/>
    <s v="2024-09-23"/>
    <x v="2"/>
    <x v="2"/>
    <x v="3"/>
    <x v="12"/>
    <n v="13"/>
    <n v="350"/>
    <n v="0.1"/>
    <n v="4550"/>
    <n v="4095"/>
    <n v="216.66"/>
    <n v="1278.42"/>
    <s v="Meta No Alcanzada"/>
  </r>
  <r>
    <s v="V-0204"/>
    <s v="2024-09-17"/>
    <x v="4"/>
    <x v="4"/>
    <x v="4"/>
    <x v="14"/>
    <n v="4"/>
    <n v="120"/>
    <n v="0.05"/>
    <n v="480"/>
    <n v="456"/>
    <n v="76.599999999999994"/>
    <n v="149.60000000000002"/>
    <s v="Meta Cumplida"/>
  </r>
  <r>
    <s v="V-0205"/>
    <s v="2024-09-06"/>
    <x v="2"/>
    <x v="5"/>
    <x v="0"/>
    <x v="5"/>
    <n v="6"/>
    <n v="2100"/>
    <n v="0"/>
    <n v="12600"/>
    <n v="12600"/>
    <n v="1259.92"/>
    <n v="5040.4799999999996"/>
    <s v="Meta No Alcanzada"/>
  </r>
  <r>
    <s v="V-0206"/>
    <s v="2024-09-27"/>
    <x v="1"/>
    <x v="3"/>
    <x v="0"/>
    <x v="0"/>
    <n v="4"/>
    <n v="2500"/>
    <n v="0"/>
    <n v="10000"/>
    <n v="10000"/>
    <n v="1506.66"/>
    <n v="3973.3599999999997"/>
    <s v="Meta Cumplida"/>
  </r>
  <r>
    <s v="V-0207"/>
    <s v="2024-09-05"/>
    <x v="3"/>
    <x v="2"/>
    <x v="2"/>
    <x v="13"/>
    <n v="5"/>
    <n v="850"/>
    <n v="0"/>
    <n v="4250"/>
    <n v="4250"/>
    <n v="489.62"/>
    <n v="1801.9"/>
    <s v="Meta Cumplida"/>
  </r>
  <r>
    <s v="V-0208"/>
    <s v="2024-09-15"/>
    <x v="0"/>
    <x v="1"/>
    <x v="0"/>
    <x v="7"/>
    <n v="8"/>
    <n v="2200"/>
    <n v="0.1"/>
    <n v="17600"/>
    <n v="15840"/>
    <n v="1460.76"/>
    <n v="4153.92"/>
    <s v="Meta Cumplida"/>
  </r>
  <r>
    <s v="V-0209"/>
    <s v="2024-09-15"/>
    <x v="0"/>
    <x v="0"/>
    <x v="1"/>
    <x v="11"/>
    <n v="3"/>
    <n v="95"/>
    <n v="0.05"/>
    <n v="285"/>
    <n v="270.75"/>
    <n v="53.22"/>
    <n v="111.09"/>
    <s v="Meta Cumplida"/>
  </r>
  <r>
    <s v="V-0210"/>
    <s v="2024-09-15"/>
    <x v="1"/>
    <x v="4"/>
    <x v="4"/>
    <x v="17"/>
    <n v="6"/>
    <n v="180"/>
    <n v="0.1"/>
    <n v="1080"/>
    <n v="972"/>
    <n v="101"/>
    <n v="366"/>
    <s v="Meta No Alcanzada"/>
  </r>
  <r>
    <s v="V-0211"/>
    <s v="2024-09-28"/>
    <x v="3"/>
    <x v="0"/>
    <x v="3"/>
    <x v="12"/>
    <n v="14"/>
    <n v="350"/>
    <n v="0"/>
    <n v="4900"/>
    <n v="4900"/>
    <n v="196.53"/>
    <n v="2148.58"/>
    <s v="Meta No Alcanzada"/>
  </r>
  <r>
    <s v="V-0212"/>
    <s v="2024-09-15"/>
    <x v="4"/>
    <x v="3"/>
    <x v="0"/>
    <x v="5"/>
    <n v="9"/>
    <n v="2100"/>
    <n v="0.15"/>
    <n v="18900"/>
    <n v="16065"/>
    <n v="1437.2"/>
    <n v="3130.1999999999989"/>
    <s v="Meta Cumplida"/>
  </r>
  <r>
    <s v="V-0213"/>
    <s v="2024-09-02"/>
    <x v="2"/>
    <x v="3"/>
    <x v="1"/>
    <x v="9"/>
    <n v="8"/>
    <n v="220"/>
    <n v="0.1"/>
    <n v="1760"/>
    <n v="1584"/>
    <n v="125.98"/>
    <n v="576.16"/>
    <s v="Meta Cumplida"/>
  </r>
  <r>
    <s v="V-0214"/>
    <s v="2024-09-02"/>
    <x v="2"/>
    <x v="5"/>
    <x v="3"/>
    <x v="12"/>
    <n v="2"/>
    <n v="350"/>
    <n v="0.1"/>
    <n v="700"/>
    <n v="630"/>
    <n v="226.42"/>
    <n v="177.16000000000003"/>
    <s v="Meta No Alcanzada"/>
  </r>
  <r>
    <s v="V-0215"/>
    <s v="2024-09-12"/>
    <x v="4"/>
    <x v="3"/>
    <x v="2"/>
    <x v="2"/>
    <n v="9"/>
    <n v="480"/>
    <n v="0.1"/>
    <n v="4320"/>
    <n v="3888"/>
    <n v="275.43"/>
    <n v="1409.13"/>
    <s v="Meta No Alcanzada"/>
  </r>
  <r>
    <s v="V-0216"/>
    <s v="2024-09-21"/>
    <x v="4"/>
    <x v="0"/>
    <x v="4"/>
    <x v="10"/>
    <n v="11"/>
    <n v="220"/>
    <n v="0.1"/>
    <n v="2420"/>
    <n v="2178"/>
    <n v="122.73"/>
    <n v="827.97"/>
    <s v="Meta Cumplida"/>
  </r>
  <r>
    <s v="V-0217"/>
    <s v="2024-09-09"/>
    <x v="2"/>
    <x v="4"/>
    <x v="4"/>
    <x v="14"/>
    <n v="9"/>
    <n v="120"/>
    <n v="0.15"/>
    <n v="1080"/>
    <n v="918"/>
    <n v="72.959999999999994"/>
    <n v="261.36"/>
    <s v="Meta No Alcanzada"/>
  </r>
  <r>
    <s v="V-0218"/>
    <s v="2024-09-12"/>
    <x v="2"/>
    <x v="4"/>
    <x v="1"/>
    <x v="9"/>
    <n v="10"/>
    <n v="220"/>
    <n v="0.15"/>
    <n v="2200"/>
    <n v="1870"/>
    <n v="125.67"/>
    <n v="613.29999999999995"/>
    <s v="Meta No Alcanzada"/>
  </r>
  <r>
    <s v="V-0219"/>
    <s v="2024-09-13"/>
    <x v="5"/>
    <x v="3"/>
    <x v="4"/>
    <x v="10"/>
    <n v="12"/>
    <n v="220"/>
    <n v="0"/>
    <n v="2640"/>
    <n v="2640"/>
    <n v="131.22"/>
    <n v="1065.3600000000001"/>
    <s v="Meta No Alcanzada"/>
  </r>
  <r>
    <s v="V-0220"/>
    <s v="2024-09-17"/>
    <x v="0"/>
    <x v="5"/>
    <x v="4"/>
    <x v="6"/>
    <n v="14"/>
    <n v="85"/>
    <n v="0.15"/>
    <n v="1190"/>
    <n v="1011.5"/>
    <n v="59.46"/>
    <n v="179.05999999999995"/>
    <s v="Meta Cumplida"/>
  </r>
  <r>
    <s v="V-0221"/>
    <s v="2024-10-11"/>
    <x v="3"/>
    <x v="0"/>
    <x v="3"/>
    <x v="3"/>
    <n v="5"/>
    <n v="1800"/>
    <n v="0"/>
    <n v="9000"/>
    <n v="9000"/>
    <n v="1246.82"/>
    <n v="2765.9000000000005"/>
    <s v="Meta No Alcanzada"/>
  </r>
  <r>
    <s v="V-0222"/>
    <s v="2024-10-26"/>
    <x v="5"/>
    <x v="2"/>
    <x v="3"/>
    <x v="18"/>
    <n v="3"/>
    <n v="90"/>
    <n v="0"/>
    <n v="270"/>
    <n v="270"/>
    <n v="53.49"/>
    <n v="109.53"/>
    <s v="Meta Cumplida"/>
  </r>
  <r>
    <s v="V-0223"/>
    <s v="2024-10-13"/>
    <x v="0"/>
    <x v="0"/>
    <x v="0"/>
    <x v="0"/>
    <n v="15"/>
    <n v="2500"/>
    <n v="0.1"/>
    <n v="37500"/>
    <n v="33750"/>
    <n v="1424.14"/>
    <n v="12387.899999999998"/>
    <s v="Meta No Alcanzada"/>
  </r>
  <r>
    <s v="V-0224"/>
    <s v="2024-10-06"/>
    <x v="5"/>
    <x v="5"/>
    <x v="2"/>
    <x v="13"/>
    <n v="13"/>
    <n v="850"/>
    <n v="0.1"/>
    <n v="11050"/>
    <n v="9945"/>
    <n v="570.65"/>
    <n v="2526.5500000000002"/>
    <s v="Meta Cumplida"/>
  </r>
  <r>
    <s v="V-0225"/>
    <s v="2024-10-15"/>
    <x v="4"/>
    <x v="0"/>
    <x v="3"/>
    <x v="12"/>
    <n v="11"/>
    <n v="350"/>
    <n v="0.15"/>
    <n v="3850"/>
    <n v="3272.5"/>
    <n v="204.97"/>
    <n v="1017.8299999999999"/>
    <s v="Meta Cumplida"/>
  </r>
  <r>
    <s v="V-0226"/>
    <s v="2024-10-26"/>
    <x v="0"/>
    <x v="1"/>
    <x v="1"/>
    <x v="11"/>
    <n v="4"/>
    <n v="95"/>
    <n v="0.1"/>
    <n v="380"/>
    <n v="342"/>
    <n v="55.66"/>
    <n v="119.36000000000001"/>
    <s v="Meta Cumplida"/>
  </r>
  <r>
    <s v="V-0227"/>
    <s v="2024-10-10"/>
    <x v="2"/>
    <x v="5"/>
    <x v="3"/>
    <x v="18"/>
    <n v="10"/>
    <n v="90"/>
    <n v="0.05"/>
    <n v="900"/>
    <n v="855"/>
    <n v="55.73"/>
    <n v="297.70000000000005"/>
    <s v="Meta No Alcanzada"/>
  </r>
  <r>
    <s v="V-0228"/>
    <s v="2024-10-09"/>
    <x v="5"/>
    <x v="2"/>
    <x v="3"/>
    <x v="19"/>
    <n v="13"/>
    <n v="480"/>
    <n v="0.1"/>
    <n v="6240"/>
    <n v="5616"/>
    <n v="273.95999999999998"/>
    <n v="2054.5200000000004"/>
    <s v="Meta No Alcanzada"/>
  </r>
  <r>
    <s v="V-0229"/>
    <s v="2024-10-17"/>
    <x v="2"/>
    <x v="3"/>
    <x v="0"/>
    <x v="5"/>
    <n v="15"/>
    <n v="2100"/>
    <n v="0"/>
    <n v="31500"/>
    <n v="31500"/>
    <n v="1379.09"/>
    <n v="10813.650000000001"/>
    <s v="Meta Cumplida"/>
  </r>
  <r>
    <s v="V-0230"/>
    <s v="2024-10-05"/>
    <x v="3"/>
    <x v="2"/>
    <x v="0"/>
    <x v="4"/>
    <n v="5"/>
    <n v="2800"/>
    <n v="0.05"/>
    <n v="14000"/>
    <n v="13300"/>
    <n v="1920.23"/>
    <n v="3698.8500000000004"/>
    <s v="Meta Cumplida"/>
  </r>
  <r>
    <s v="V-0231"/>
    <s v="2024-10-14"/>
    <x v="5"/>
    <x v="1"/>
    <x v="3"/>
    <x v="12"/>
    <n v="15"/>
    <n v="350"/>
    <n v="0"/>
    <n v="5250"/>
    <n v="5250"/>
    <n v="241.35"/>
    <n v="1629.75"/>
    <s v="Meta Cumplida"/>
  </r>
  <r>
    <s v="V-0232"/>
    <s v="2024-10-12"/>
    <x v="1"/>
    <x v="0"/>
    <x v="0"/>
    <x v="5"/>
    <n v="4"/>
    <n v="2100"/>
    <n v="0.05"/>
    <n v="8400"/>
    <n v="7980"/>
    <n v="1468.28"/>
    <n v="2106.88"/>
    <s v="Meta Cumplida"/>
  </r>
  <r>
    <s v="V-0233"/>
    <s v="2024-10-26"/>
    <x v="2"/>
    <x v="4"/>
    <x v="2"/>
    <x v="16"/>
    <n v="14"/>
    <n v="650"/>
    <n v="0.15"/>
    <n v="9100"/>
    <n v="7735"/>
    <n v="420.87"/>
    <n v="1842.8199999999997"/>
    <s v="Meta Cumplida"/>
  </r>
  <r>
    <s v="V-0234"/>
    <s v="2024-10-05"/>
    <x v="3"/>
    <x v="0"/>
    <x v="2"/>
    <x v="13"/>
    <n v="15"/>
    <n v="850"/>
    <n v="0.05"/>
    <n v="12750"/>
    <n v="12112.5"/>
    <n v="556.25"/>
    <n v="3768.75"/>
    <s v="Meta Cumplida"/>
  </r>
  <r>
    <s v="V-0235"/>
    <s v="2024-10-07"/>
    <x v="1"/>
    <x v="4"/>
    <x v="3"/>
    <x v="19"/>
    <n v="15"/>
    <n v="480"/>
    <n v="0"/>
    <n v="7200"/>
    <n v="7200"/>
    <n v="265.37"/>
    <n v="3219.45"/>
    <s v="Meta Cumplida"/>
  </r>
  <r>
    <s v="V-0236"/>
    <s v="2024-10-08"/>
    <x v="3"/>
    <x v="0"/>
    <x v="2"/>
    <x v="2"/>
    <n v="4"/>
    <n v="480"/>
    <n v="0"/>
    <n v="1920"/>
    <n v="1920"/>
    <n v="272.77"/>
    <n v="828.92000000000007"/>
    <s v="Meta Cumplida"/>
  </r>
  <r>
    <s v="V-0237"/>
    <s v="2024-10-01"/>
    <x v="3"/>
    <x v="4"/>
    <x v="3"/>
    <x v="19"/>
    <n v="14"/>
    <n v="480"/>
    <n v="0.05"/>
    <n v="6720"/>
    <n v="6384"/>
    <n v="306.97000000000003"/>
    <n v="2086.42"/>
    <s v="Meta No Alcanzada"/>
  </r>
  <r>
    <s v="V-0238"/>
    <s v="2024-10-12"/>
    <x v="0"/>
    <x v="2"/>
    <x v="1"/>
    <x v="9"/>
    <n v="5"/>
    <n v="220"/>
    <n v="0.05"/>
    <n v="1100"/>
    <n v="1045"/>
    <n v="121.05"/>
    <n v="439.75"/>
    <s v="Meta Cumplida"/>
  </r>
  <r>
    <s v="V-0239"/>
    <s v="2024-10-12"/>
    <x v="5"/>
    <x v="5"/>
    <x v="2"/>
    <x v="2"/>
    <n v="11"/>
    <n v="480"/>
    <n v="0"/>
    <n v="5280"/>
    <n v="5280"/>
    <n v="301.69"/>
    <n v="1961.4099999999999"/>
    <s v="Meta No Alcanzada"/>
  </r>
  <r>
    <s v="V-0240"/>
    <s v="2024-11-12"/>
    <x v="4"/>
    <x v="1"/>
    <x v="1"/>
    <x v="1"/>
    <n v="1"/>
    <n v="180"/>
    <n v="0.15"/>
    <n v="180"/>
    <n v="153"/>
    <n v="109.45"/>
    <n v="43.55"/>
    <s v="Meta Cumplida"/>
  </r>
  <r>
    <s v="V-0241"/>
    <s v="2024-11-21"/>
    <x v="2"/>
    <x v="4"/>
    <x v="4"/>
    <x v="14"/>
    <n v="6"/>
    <n v="120"/>
    <n v="0"/>
    <n v="720"/>
    <n v="720"/>
    <n v="79.19"/>
    <n v="244.86"/>
    <s v="Meta No Alcanzada"/>
  </r>
  <r>
    <s v="V-0242"/>
    <s v="2024-11-21"/>
    <x v="5"/>
    <x v="4"/>
    <x v="0"/>
    <x v="4"/>
    <n v="6"/>
    <n v="2800"/>
    <n v="0.1"/>
    <n v="16800"/>
    <n v="15120"/>
    <n v="1682.19"/>
    <n v="5026.8600000000006"/>
    <s v="Meta No Alcanzada"/>
  </r>
  <r>
    <s v="V-0243"/>
    <s v="2024-11-03"/>
    <x v="0"/>
    <x v="1"/>
    <x v="2"/>
    <x v="2"/>
    <n v="11"/>
    <n v="480"/>
    <n v="0"/>
    <n v="5280"/>
    <n v="5280"/>
    <n v="322.43"/>
    <n v="1733.27"/>
    <s v="Meta Cumplida"/>
  </r>
  <r>
    <s v="V-0244"/>
    <s v="2024-11-11"/>
    <x v="2"/>
    <x v="2"/>
    <x v="3"/>
    <x v="12"/>
    <n v="1"/>
    <n v="350"/>
    <n v="0"/>
    <n v="350"/>
    <n v="350"/>
    <n v="239"/>
    <n v="111"/>
    <s v="Meta Cumplida"/>
  </r>
  <r>
    <s v="V-0245"/>
    <s v="2024-11-07"/>
    <x v="1"/>
    <x v="1"/>
    <x v="4"/>
    <x v="10"/>
    <n v="5"/>
    <n v="220"/>
    <n v="0"/>
    <n v="1100"/>
    <n v="1100"/>
    <n v="145.86000000000001"/>
    <n v="370.69999999999993"/>
    <s v="Meta No Alcanzada"/>
  </r>
  <r>
    <s v="V-0246"/>
    <s v="2024-11-12"/>
    <x v="3"/>
    <x v="5"/>
    <x v="4"/>
    <x v="17"/>
    <n v="6"/>
    <n v="180"/>
    <n v="0"/>
    <n v="1080"/>
    <n v="1080"/>
    <n v="102.36"/>
    <n v="465.84000000000003"/>
    <s v="Meta No Alcanzada"/>
  </r>
  <r>
    <s v="V-0247"/>
    <s v="2024-11-06"/>
    <x v="0"/>
    <x v="1"/>
    <x v="3"/>
    <x v="19"/>
    <n v="15"/>
    <n v="480"/>
    <n v="0.05"/>
    <n v="7200"/>
    <n v="6840"/>
    <n v="288.41000000000003"/>
    <n v="2513.8499999999995"/>
    <s v="Meta No Alcanzada"/>
  </r>
  <r>
    <s v="V-0248"/>
    <s v="2024-11-03"/>
    <x v="2"/>
    <x v="3"/>
    <x v="3"/>
    <x v="19"/>
    <n v="5"/>
    <n v="480"/>
    <n v="0"/>
    <n v="2400"/>
    <n v="2400"/>
    <n v="316.35000000000002"/>
    <n v="818.25"/>
    <s v="Meta Cumplida"/>
  </r>
  <r>
    <s v="V-0249"/>
    <s v="2024-11-22"/>
    <x v="1"/>
    <x v="0"/>
    <x v="3"/>
    <x v="18"/>
    <n v="6"/>
    <n v="90"/>
    <n v="0"/>
    <n v="540"/>
    <n v="540"/>
    <n v="50.58"/>
    <n v="236.51999999999998"/>
    <s v="Meta No Alcanzada"/>
  </r>
  <r>
    <s v="V-0250"/>
    <s v="2024-11-15"/>
    <x v="4"/>
    <x v="3"/>
    <x v="4"/>
    <x v="17"/>
    <n v="12"/>
    <n v="180"/>
    <n v="0.05"/>
    <n v="2160"/>
    <n v="2052"/>
    <n v="103.5"/>
    <n v="810"/>
    <s v="Meta No Alcanzada"/>
  </r>
  <r>
    <s v="V-0251"/>
    <s v="2024-11-14"/>
    <x v="3"/>
    <x v="5"/>
    <x v="4"/>
    <x v="10"/>
    <n v="14"/>
    <n v="220"/>
    <n v="0"/>
    <n v="3080"/>
    <n v="3080"/>
    <n v="141.29"/>
    <n v="1101.94"/>
    <s v="Meta No Alcanzada"/>
  </r>
  <r>
    <s v="V-0252"/>
    <s v="2024-11-26"/>
    <x v="3"/>
    <x v="5"/>
    <x v="4"/>
    <x v="14"/>
    <n v="11"/>
    <n v="120"/>
    <n v="0.05"/>
    <n v="1320"/>
    <n v="1254"/>
    <n v="72.540000000000006"/>
    <n v="456.05999999999995"/>
    <s v="Meta Cumplida"/>
  </r>
  <r>
    <s v="V-0253"/>
    <s v="2024-11-03"/>
    <x v="5"/>
    <x v="3"/>
    <x v="2"/>
    <x v="16"/>
    <n v="11"/>
    <n v="650"/>
    <n v="0.05"/>
    <n v="7150"/>
    <n v="6792.5"/>
    <n v="360.89"/>
    <n v="2822.71"/>
    <s v="Meta No Alcanzada"/>
  </r>
  <r>
    <s v="V-0254"/>
    <s v="2024-11-22"/>
    <x v="2"/>
    <x v="1"/>
    <x v="2"/>
    <x v="8"/>
    <n v="10"/>
    <n v="1200"/>
    <n v="0"/>
    <n v="12000"/>
    <n v="12000"/>
    <n v="768.92"/>
    <n v="4310.8"/>
    <s v="Meta Cumplida"/>
  </r>
  <r>
    <s v="V-0255"/>
    <s v="2024-11-17"/>
    <x v="2"/>
    <x v="1"/>
    <x v="3"/>
    <x v="3"/>
    <n v="13"/>
    <n v="1800"/>
    <n v="0"/>
    <n v="23400"/>
    <n v="23400"/>
    <n v="1144.96"/>
    <n v="8515.52"/>
    <s v="Meta Cumplida"/>
  </r>
  <r>
    <s v="V-0256"/>
    <s v="2024-11-01"/>
    <x v="2"/>
    <x v="5"/>
    <x v="4"/>
    <x v="10"/>
    <n v="5"/>
    <n v="220"/>
    <n v="0"/>
    <n v="1100"/>
    <n v="1100"/>
    <n v="152.69999999999999"/>
    <n v="336.5"/>
    <s v="Meta Cumplida"/>
  </r>
  <r>
    <s v="V-0257"/>
    <s v="2024-11-25"/>
    <x v="1"/>
    <x v="1"/>
    <x v="2"/>
    <x v="2"/>
    <n v="15"/>
    <n v="480"/>
    <n v="0.1"/>
    <n v="7200"/>
    <n v="6480"/>
    <n v="272.48"/>
    <n v="2392.7999999999997"/>
    <s v="Meta No Alcanzada"/>
  </r>
  <r>
    <s v="V-0258"/>
    <s v="2024-11-16"/>
    <x v="5"/>
    <x v="3"/>
    <x v="4"/>
    <x v="10"/>
    <n v="5"/>
    <n v="220"/>
    <n v="0.15"/>
    <n v="1100"/>
    <n v="935"/>
    <n v="151.24"/>
    <n v="178.79999999999995"/>
    <s v="Meta Cumplida"/>
  </r>
  <r>
    <s v="V-0259"/>
    <s v="2024-12-03"/>
    <x v="3"/>
    <x v="1"/>
    <x v="0"/>
    <x v="7"/>
    <n v="3"/>
    <n v="2200"/>
    <n v="0.15"/>
    <n v="6600"/>
    <n v="5610"/>
    <n v="1356.89"/>
    <n v="1539.33"/>
    <s v="Meta No Alcanzada"/>
  </r>
  <r>
    <s v="V-0260"/>
    <s v="2024-12-10"/>
    <x v="0"/>
    <x v="4"/>
    <x v="4"/>
    <x v="17"/>
    <n v="9"/>
    <n v="180"/>
    <n v="0.1"/>
    <n v="1620"/>
    <n v="1458"/>
    <n v="106.84"/>
    <n v="496.43999999999994"/>
    <s v="Meta Cumplida"/>
  </r>
  <r>
    <s v="V-0261"/>
    <s v="2024-12-26"/>
    <x v="2"/>
    <x v="3"/>
    <x v="2"/>
    <x v="13"/>
    <n v="4"/>
    <n v="850"/>
    <n v="0"/>
    <n v="3400"/>
    <n v="3400"/>
    <n v="593.1"/>
    <n v="1027.5999999999999"/>
    <s v="Meta No Alcanzada"/>
  </r>
  <r>
    <s v="V-0262"/>
    <s v="2024-12-15"/>
    <x v="4"/>
    <x v="4"/>
    <x v="2"/>
    <x v="13"/>
    <n v="6"/>
    <n v="850"/>
    <n v="0.1"/>
    <n v="5100"/>
    <n v="4590"/>
    <n v="540.47"/>
    <n v="1347.1799999999998"/>
    <s v="Meta Cumplida"/>
  </r>
  <r>
    <s v="V-0263"/>
    <s v="2024-12-23"/>
    <x v="1"/>
    <x v="4"/>
    <x v="1"/>
    <x v="9"/>
    <n v="2"/>
    <n v="220"/>
    <n v="0"/>
    <n v="440"/>
    <n v="440"/>
    <n v="134.13999999999999"/>
    <n v="171.72000000000003"/>
    <s v="Meta Cumplida"/>
  </r>
  <r>
    <s v="V-0264"/>
    <s v="2024-12-21"/>
    <x v="4"/>
    <x v="3"/>
    <x v="3"/>
    <x v="19"/>
    <n v="2"/>
    <n v="480"/>
    <n v="0"/>
    <n v="960"/>
    <n v="960"/>
    <n v="334.01"/>
    <n v="291.98"/>
    <s v="Meta No Alcanzada"/>
  </r>
  <r>
    <s v="V-0265"/>
    <s v="2024-12-27"/>
    <x v="4"/>
    <x v="5"/>
    <x v="0"/>
    <x v="5"/>
    <n v="9"/>
    <n v="2100"/>
    <n v="0"/>
    <n v="18900"/>
    <n v="18900"/>
    <n v="1195.43"/>
    <n v="8141.1299999999992"/>
    <s v="Meta No Alcanzada"/>
  </r>
  <r>
    <s v="V-0266"/>
    <s v="2024-12-17"/>
    <x v="5"/>
    <x v="1"/>
    <x v="1"/>
    <x v="9"/>
    <n v="9"/>
    <n v="220"/>
    <n v="0"/>
    <n v="1980"/>
    <n v="1980"/>
    <n v="148.44"/>
    <n v="644.04"/>
    <s v="Meta Cumplida"/>
  </r>
  <r>
    <s v="V-0267"/>
    <s v="2024-12-17"/>
    <x v="5"/>
    <x v="2"/>
    <x v="2"/>
    <x v="8"/>
    <n v="6"/>
    <n v="1200"/>
    <n v="0.15"/>
    <n v="7200"/>
    <n v="6120"/>
    <n v="700.58"/>
    <n v="1916.5199999999995"/>
    <s v="Meta No Alcanzada"/>
  </r>
  <r>
    <s v="V-0268"/>
    <s v="2024-12-21"/>
    <x v="2"/>
    <x v="2"/>
    <x v="4"/>
    <x v="14"/>
    <n v="11"/>
    <n v="120"/>
    <n v="0.1"/>
    <n v="1320"/>
    <n v="1188"/>
    <n v="70.94"/>
    <n v="407.66000000000008"/>
    <s v="Meta Cumplida"/>
  </r>
  <r>
    <s v="V-0269"/>
    <s v="2024-12-05"/>
    <x v="1"/>
    <x v="5"/>
    <x v="4"/>
    <x v="14"/>
    <n v="3"/>
    <n v="120"/>
    <n v="0.1"/>
    <n v="360"/>
    <n v="324"/>
    <n v="82.95"/>
    <n v="75.149999999999977"/>
    <s v="Meta No Alcanzada"/>
  </r>
  <r>
    <s v="V-0270"/>
    <s v="2024-12-21"/>
    <x v="1"/>
    <x v="4"/>
    <x v="2"/>
    <x v="8"/>
    <n v="14"/>
    <n v="1200"/>
    <n v="0"/>
    <n v="16800"/>
    <n v="16800"/>
    <n v="674.62"/>
    <n v="7355.32"/>
    <s v="Meta No Alcanzada"/>
  </r>
  <r>
    <s v="V-0271"/>
    <s v="2024-12-21"/>
    <x v="0"/>
    <x v="2"/>
    <x v="1"/>
    <x v="11"/>
    <n v="13"/>
    <n v="95"/>
    <n v="0.1"/>
    <n v="1235"/>
    <n v="1111.5"/>
    <n v="58.19"/>
    <n v="355.03"/>
    <s v="Meta Cumplida"/>
  </r>
  <r>
    <s v="V-0272"/>
    <s v="2024-12-16"/>
    <x v="0"/>
    <x v="3"/>
    <x v="0"/>
    <x v="5"/>
    <n v="5"/>
    <n v="2100"/>
    <n v="0.15"/>
    <n v="10500"/>
    <n v="8925"/>
    <n v="1456.34"/>
    <n v="1643.3000000000002"/>
    <s v="Meta No Alcanzada"/>
  </r>
  <r>
    <s v="V-0273"/>
    <s v="2024-12-15"/>
    <x v="2"/>
    <x v="1"/>
    <x v="2"/>
    <x v="2"/>
    <n v="2"/>
    <n v="480"/>
    <n v="0.15"/>
    <n v="960"/>
    <n v="816"/>
    <n v="268.31"/>
    <n v="279.38"/>
    <s v="Meta Cumplida"/>
  </r>
  <r>
    <s v="V-0274"/>
    <s v="2024-12-28"/>
    <x v="4"/>
    <x v="2"/>
    <x v="3"/>
    <x v="19"/>
    <n v="6"/>
    <n v="480"/>
    <n v="0.1"/>
    <n v="2880"/>
    <n v="2592"/>
    <n v="274.33999999999997"/>
    <n v="945.96"/>
    <s v="Meta No Alcanzada"/>
  </r>
  <r>
    <s v="V-0275"/>
    <s v="2024-12-04"/>
    <x v="4"/>
    <x v="2"/>
    <x v="4"/>
    <x v="17"/>
    <n v="13"/>
    <n v="180"/>
    <n v="0"/>
    <n v="2340"/>
    <n v="2340"/>
    <n v="112.9"/>
    <n v="872.3"/>
    <s v="Meta No Alcanzada"/>
  </r>
  <r>
    <s v="V-0276"/>
    <s v="2024-12-04"/>
    <x v="4"/>
    <x v="4"/>
    <x v="4"/>
    <x v="6"/>
    <n v="5"/>
    <n v="85"/>
    <n v="0.05"/>
    <n v="425"/>
    <n v="403.75"/>
    <n v="49.91"/>
    <n v="154.20000000000002"/>
    <s v="Meta No Alcanzada"/>
  </r>
  <r>
    <s v="V-0277"/>
    <s v="2024-12-06"/>
    <x v="4"/>
    <x v="3"/>
    <x v="0"/>
    <x v="4"/>
    <n v="7"/>
    <n v="2800"/>
    <n v="0"/>
    <n v="19600"/>
    <n v="19600"/>
    <n v="1944.33"/>
    <n v="5989.6900000000005"/>
    <s v="Meta No Alcanzada"/>
  </r>
  <r>
    <s v="V-0278"/>
    <s v="2024-12-10"/>
    <x v="5"/>
    <x v="2"/>
    <x v="4"/>
    <x v="17"/>
    <n v="8"/>
    <n v="180"/>
    <n v="0.1"/>
    <n v="1440"/>
    <n v="1296"/>
    <n v="111.6"/>
    <n v="403.20000000000005"/>
    <s v="Meta Cumplida"/>
  </r>
  <r>
    <s v="V-0279"/>
    <s v="2024-12-07"/>
    <x v="3"/>
    <x v="1"/>
    <x v="3"/>
    <x v="12"/>
    <n v="9"/>
    <n v="350"/>
    <n v="0.05"/>
    <n v="3150"/>
    <n v="2992.5"/>
    <n v="243.25"/>
    <n v="803.25"/>
    <s v="Meta No Alcanzada"/>
  </r>
  <r>
    <m/>
    <m/>
    <x v="6"/>
    <x v="6"/>
    <x v="5"/>
    <x v="2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3E25A-E7B9-48B6-9A09-5C706456EB5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8" firstHeaderRow="1" firstDataRow="2" firstDataCol="1"/>
  <pivotFields count="14">
    <pivotField showAll="0"/>
    <pivotField showAll="0"/>
    <pivotField axis="axisCol" showAll="0">
      <items count="8">
        <item x="3"/>
        <item x="5"/>
        <item x="0"/>
        <item x="2"/>
        <item x="4"/>
        <item x="1"/>
        <item x="6"/>
        <item t="default"/>
      </items>
    </pivotField>
    <pivotField showAll="0">
      <items count="8">
        <item x="3"/>
        <item h="1" x="1"/>
        <item x="0"/>
        <item h="1" x="4"/>
        <item h="1" x="2"/>
        <item x="5"/>
        <item h="1" x="6"/>
        <item t="default"/>
      </items>
    </pivotField>
    <pivotField axis="axisRow" showAll="0">
      <items count="7">
        <item x="0"/>
        <item h="1" x="2"/>
        <item x="4"/>
        <item h="1" x="1"/>
        <item x="3"/>
        <item h="1" x="5"/>
        <item t="default"/>
      </items>
    </pivotField>
    <pivotField showAll="0">
      <items count="22">
        <item x="15"/>
        <item x="19"/>
        <item x="18"/>
        <item x="5"/>
        <item x="17"/>
        <item x="3"/>
        <item x="2"/>
        <item x="11"/>
        <item x="4"/>
        <item x="8"/>
        <item x="0"/>
        <item x="7"/>
        <item x="13"/>
        <item x="6"/>
        <item x="12"/>
        <item x="1"/>
        <item x="16"/>
        <item x="9"/>
        <item x="14"/>
        <item x="10"/>
        <item x="2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ngreso_Net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433377B9-72BE-4E55-9BFB-D3CDD38F301E}" sourceName="Región">
  <pivotTables>
    <pivotTable tabId="9" name="TablaDinámica1"/>
  </pivotTables>
  <data>
    <tabular pivotCacheId="635965240">
      <items count="7">
        <i x="3" s="1"/>
        <i x="1"/>
        <i x="0" s="1"/>
        <i x="4"/>
        <i x="2"/>
        <i x="5" s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C25569C0-E2C0-43FA-B01A-AE2B92300B46}" sourceName="Categoría">
  <pivotTables>
    <pivotTable tabId="9" name="TablaDinámica1"/>
  </pivotTables>
  <data>
    <tabular pivotCacheId="635965240">
      <items count="6">
        <i x="0" s="1"/>
        <i x="2"/>
        <i x="4" s="1"/>
        <i x="1"/>
        <i x="3" s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7D5D5E19-450D-4C9C-9ECC-CF5C12F76D73}" cache="SegmentaciónDeDatos_Región" caption="Región" rowHeight="241300"/>
  <slicer name="Categoría" xr10:uid="{5374A904-97B8-418D-805F-0C21C595DA57}" cache="SegmentaciónDeDatos_Categoría" caption="Categoría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56FA-D5C5-41A6-A999-6F8023D3C432}">
  <sheetPr codeName="Hoja1"/>
  <dimension ref="B1:K18"/>
  <sheetViews>
    <sheetView showGridLines="0" tabSelected="1" workbookViewId="0">
      <selection activeCell="H14" sqref="H14"/>
    </sheetView>
  </sheetViews>
  <sheetFormatPr baseColWidth="10" defaultRowHeight="15" x14ac:dyDescent="0.25"/>
  <cols>
    <col min="1" max="1" width="14.28515625" customWidth="1"/>
    <col min="2" max="2" width="25.7109375" customWidth="1"/>
    <col min="3" max="3" width="17" customWidth="1"/>
    <col min="6" max="6" width="14.140625" bestFit="1" customWidth="1"/>
    <col min="8" max="8" width="11.42578125" customWidth="1"/>
    <col min="9" max="9" width="11.140625" customWidth="1"/>
    <col min="10" max="10" width="11.85546875" style="16" hidden="1" customWidth="1"/>
    <col min="11" max="11" width="16.85546875" hidden="1" customWidth="1"/>
    <col min="13" max="13" width="11.85546875" bestFit="1" customWidth="1"/>
  </cols>
  <sheetData>
    <row r="1" spans="2:11" x14ac:dyDescent="0.25">
      <c r="B1" s="51"/>
      <c r="C1" s="51"/>
      <c r="D1" s="51"/>
      <c r="E1" s="51"/>
      <c r="F1" s="51"/>
    </row>
    <row r="2" spans="2:11" ht="18.75" x14ac:dyDescent="0.25">
      <c r="B2" s="52" t="s">
        <v>622</v>
      </c>
      <c r="C2" s="52"/>
      <c r="D2" s="52"/>
      <c r="E2" s="52"/>
      <c r="F2" s="52"/>
    </row>
    <row r="3" spans="2:11" ht="18.75" x14ac:dyDescent="0.25">
      <c r="B3" s="17" t="s">
        <v>616</v>
      </c>
      <c r="C3" s="29">
        <f>SUM(Ventas!K3:K281)</f>
        <v>1793322</v>
      </c>
      <c r="D3" s="19" t="s">
        <v>619</v>
      </c>
      <c r="E3" s="19"/>
      <c r="F3" s="30">
        <f>SUM(Ventas!M3:M281)</f>
        <v>628069.72999999986</v>
      </c>
      <c r="J3" s="16" t="s">
        <v>618</v>
      </c>
    </row>
    <row r="4" spans="2:11" x14ac:dyDescent="0.25">
      <c r="B4" s="17"/>
      <c r="C4" s="18"/>
      <c r="D4" s="19"/>
      <c r="E4" s="19"/>
      <c r="F4" s="20"/>
    </row>
    <row r="5" spans="2:11" ht="18.75" x14ac:dyDescent="0.25">
      <c r="B5" s="21" t="s">
        <v>617</v>
      </c>
      <c r="C5" s="31">
        <f>COUNTA(Ventas!A3:A281)</f>
        <v>279</v>
      </c>
      <c r="D5" s="23" t="s">
        <v>620</v>
      </c>
      <c r="E5" s="24"/>
      <c r="F5" s="32">
        <f>AVERAGE(Ventas!K3:K281)</f>
        <v>6427.677419354839</v>
      </c>
      <c r="J5" s="16" t="s">
        <v>44</v>
      </c>
      <c r="K5">
        <f>SUMIF(Ventas!C:C,J5,Ventas!K:K)</f>
        <v>360906</v>
      </c>
    </row>
    <row r="6" spans="2:11" ht="15.75" thickBot="1" x14ac:dyDescent="0.3">
      <c r="B6" s="21"/>
      <c r="C6" s="22"/>
      <c r="D6" s="23"/>
      <c r="E6" s="24"/>
      <c r="F6" s="25"/>
    </row>
    <row r="7" spans="2:11" ht="19.5" customHeight="1" thickBot="1" x14ac:dyDescent="0.3">
      <c r="B7" s="26" t="s">
        <v>618</v>
      </c>
      <c r="C7" s="27" t="str">
        <f>INDEX(J5:J11,MATCH(MAX(K5:K11),K5:K11,0))</f>
        <v>Miguel Paz</v>
      </c>
      <c r="D7" s="28" t="s">
        <v>621</v>
      </c>
      <c r="E7" s="28"/>
      <c r="F7" s="35" t="str">
        <f>INDEX(J14:J18,MATCH(MAX(K14:K18),K14:K18,0))</f>
        <v>Laptops</v>
      </c>
      <c r="J7" s="16" t="s">
        <v>80</v>
      </c>
      <c r="K7">
        <f>SUMIF(Ventas!C:C,J7,Ventas!K:K)</f>
        <v>304999.5</v>
      </c>
    </row>
    <row r="8" spans="2:11" x14ac:dyDescent="0.25">
      <c r="J8" s="16" t="s">
        <v>16</v>
      </c>
      <c r="K8">
        <f>SUMIF(Ventas!C:C,J8,Ventas!K:K)</f>
        <v>270691.75</v>
      </c>
    </row>
    <row r="9" spans="2:11" x14ac:dyDescent="0.25">
      <c r="J9" s="16" t="s">
        <v>35</v>
      </c>
      <c r="K9">
        <f>SUMIF(Ventas!C:C,J9,Ventas!K:K)</f>
        <v>302819.5</v>
      </c>
    </row>
    <row r="10" spans="2:11" x14ac:dyDescent="0.25">
      <c r="J10" s="16" t="s">
        <v>67</v>
      </c>
      <c r="K10">
        <f>SUMIF(Ventas!C:C,J10,Ventas!K:K)</f>
        <v>366852.25</v>
      </c>
    </row>
    <row r="11" spans="2:11" x14ac:dyDescent="0.25">
      <c r="J11" s="16" t="s">
        <v>22</v>
      </c>
      <c r="K11">
        <f>SUMIF(Ventas!C:C,J11,Ventas!K:K)</f>
        <v>187053</v>
      </c>
    </row>
    <row r="14" spans="2:11" x14ac:dyDescent="0.25">
      <c r="J14" s="16" t="s">
        <v>18</v>
      </c>
      <c r="K14">
        <f>SUMIF(Ventas!E:E,J14,Ventas!K:K)</f>
        <v>909400</v>
      </c>
    </row>
    <row r="15" spans="2:11" x14ac:dyDescent="0.25">
      <c r="J15" s="16" t="s">
        <v>31</v>
      </c>
      <c r="K15">
        <f>SUMIF(Ventas!E:E,J15,Ventas!K:K)</f>
        <v>397792.5</v>
      </c>
    </row>
    <row r="16" spans="2:11" x14ac:dyDescent="0.25">
      <c r="J16" s="16" t="s">
        <v>24</v>
      </c>
      <c r="K16">
        <f>SUMIF(Ventas!E:E,J16,Ventas!K:K)</f>
        <v>82777.5</v>
      </c>
    </row>
    <row r="17" spans="10:11" x14ac:dyDescent="0.25">
      <c r="J17" s="16" t="s">
        <v>49</v>
      </c>
      <c r="K17">
        <f>SUMIF(Ventas!E:E,J17,Ventas!K:K)</f>
        <v>67833.5</v>
      </c>
    </row>
    <row r="18" spans="10:11" x14ac:dyDescent="0.25">
      <c r="J18" s="16" t="s">
        <v>36</v>
      </c>
      <c r="K18">
        <f>SUMIF(Ventas!E:E,J18,Ventas!K:K)</f>
        <v>335518.5</v>
      </c>
    </row>
  </sheetData>
  <mergeCells count="2">
    <mergeCell ref="B1:F1"/>
    <mergeCell ref="B2:F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6CD8-6152-4BD8-9AB2-ECE200A68AA2}">
  <dimension ref="B2:C22"/>
  <sheetViews>
    <sheetView workbookViewId="0">
      <selection activeCell="B26" sqref="B26"/>
    </sheetView>
  </sheetViews>
  <sheetFormatPr baseColWidth="10" defaultRowHeight="15" x14ac:dyDescent="0.25"/>
  <cols>
    <col min="2" max="2" width="36.85546875" customWidth="1"/>
    <col min="3" max="3" width="11.85546875" bestFit="1" customWidth="1"/>
  </cols>
  <sheetData>
    <row r="2" spans="2:3" ht="15.75" x14ac:dyDescent="0.25">
      <c r="B2" s="53" t="s">
        <v>664</v>
      </c>
      <c r="C2" s="54"/>
    </row>
    <row r="4" spans="2:3" x14ac:dyDescent="0.25">
      <c r="B4" s="46" t="s">
        <v>627</v>
      </c>
      <c r="C4" s="46" t="s">
        <v>44</v>
      </c>
    </row>
    <row r="5" spans="2:3" x14ac:dyDescent="0.25">
      <c r="B5" s="46" t="s">
        <v>629</v>
      </c>
      <c r="C5" s="44" t="s">
        <v>31</v>
      </c>
    </row>
    <row r="6" spans="2:3" x14ac:dyDescent="0.25">
      <c r="B6" s="46" t="s">
        <v>628</v>
      </c>
      <c r="C6" s="44" t="s">
        <v>28</v>
      </c>
    </row>
    <row r="8" spans="2:3" ht="15.75" x14ac:dyDescent="0.25">
      <c r="B8" s="53" t="s">
        <v>630</v>
      </c>
      <c r="C8" s="54"/>
    </row>
    <row r="9" spans="2:3" x14ac:dyDescent="0.25">
      <c r="B9" s="43" t="s">
        <v>631</v>
      </c>
      <c r="C9" s="44">
        <f>SUMIFS(Ventas!K3:K281, Ventas!C3:C281, C4, Ventas!E3:E281, C5)</f>
        <v>85505.5</v>
      </c>
    </row>
    <row r="10" spans="2:3" x14ac:dyDescent="0.25">
      <c r="B10" s="43" t="s">
        <v>632</v>
      </c>
      <c r="C10" s="44">
        <f>SUMIFS(Ventas!K3:K281, Ventas!C3:C281, C4, Ventas!D3:D281, C6)</f>
        <v>61750.5</v>
      </c>
    </row>
    <row r="11" spans="2:3" x14ac:dyDescent="0.25">
      <c r="B11" s="43" t="s">
        <v>633</v>
      </c>
      <c r="C11" s="44">
        <f>COUNTIFS(Ventas!C3:C281, C4, Ventas!E3:E281, C5)</f>
        <v>13</v>
      </c>
    </row>
    <row r="12" spans="2:3" x14ac:dyDescent="0.25">
      <c r="B12" s="43" t="s">
        <v>634</v>
      </c>
      <c r="C12" s="44">
        <f>AVERAGEIF(Ventas!C3:C281, C4, Ventas!K3:K281)</f>
        <v>7365.4285714285716</v>
      </c>
    </row>
    <row r="13" spans="2:3" x14ac:dyDescent="0.25">
      <c r="B13" s="47" t="s">
        <v>635</v>
      </c>
      <c r="C13" s="47">
        <f>_xlfn.MAXIFS(Ventas!K3:K281, Ventas!C3:C281, C4)</f>
        <v>37500</v>
      </c>
    </row>
    <row r="14" spans="2:3" x14ac:dyDescent="0.25">
      <c r="B14" s="48" t="s">
        <v>636</v>
      </c>
      <c r="C14" s="48">
        <f>_xlfn.MINIFS(Ventas!K3:K281, Ventas!C3:C281, C4)</f>
        <v>95</v>
      </c>
    </row>
    <row r="16" spans="2:3" ht="15.75" x14ac:dyDescent="0.25">
      <c r="B16" s="53" t="s">
        <v>637</v>
      </c>
      <c r="C16" s="54"/>
    </row>
    <row r="17" spans="2:3" x14ac:dyDescent="0.25">
      <c r="B17" s="46" t="s">
        <v>638</v>
      </c>
      <c r="C17" s="44" t="s">
        <v>130</v>
      </c>
    </row>
    <row r="18" spans="2:3" x14ac:dyDescent="0.25">
      <c r="B18" s="46" t="s">
        <v>627</v>
      </c>
      <c r="C18" s="44" t="str">
        <f>_xlfn.XLOOKUP(C17, Ventas!A3:A281, Ventas!C3:C281, "No encontrado")</f>
        <v>Ana Torres</v>
      </c>
    </row>
    <row r="19" spans="2:3" x14ac:dyDescent="0.25">
      <c r="B19" s="46" t="s">
        <v>639</v>
      </c>
      <c r="C19" s="44" t="str">
        <f>_xlfn.XLOOKUP(C17, Ventas!A3:A281, Ventas!F3:F281, "No encontrado")</f>
        <v>Teclado Logitech</v>
      </c>
    </row>
    <row r="20" spans="2:3" x14ac:dyDescent="0.25">
      <c r="B20" s="46" t="s">
        <v>628</v>
      </c>
      <c r="C20" s="44" t="str">
        <f>_xlfn.XLOOKUP(C17, Ventas!A3:A281, Ventas!D3:D281, "No encontrado")</f>
        <v>Provincias</v>
      </c>
    </row>
    <row r="21" spans="2:3" x14ac:dyDescent="0.25">
      <c r="B21" s="46" t="s">
        <v>640</v>
      </c>
      <c r="C21" s="44">
        <f>_xlfn.XLOOKUP(C17, Ventas!A3:A281, Ventas!K3:K281, "No encontrado")</f>
        <v>1080</v>
      </c>
    </row>
    <row r="22" spans="2:3" x14ac:dyDescent="0.25">
      <c r="B22" s="46" t="s">
        <v>641</v>
      </c>
      <c r="C22" s="44" t="str">
        <f>_xlfn.XLOOKUP(C17, Ventas!A3:A281, Ventas!N3:N281, "No encontrado")</f>
        <v>Meta No Alcanzada</v>
      </c>
    </row>
  </sheetData>
  <mergeCells count="3">
    <mergeCell ref="B16:C16"/>
    <mergeCell ref="B2:C2"/>
    <mergeCell ref="B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24D-91A7-4C78-8A3C-2F4B20B094F0}">
  <dimension ref="B2:E17"/>
  <sheetViews>
    <sheetView workbookViewId="0">
      <selection activeCell="H23" sqref="H23"/>
    </sheetView>
  </sheetViews>
  <sheetFormatPr baseColWidth="10" defaultRowHeight="15" x14ac:dyDescent="0.25"/>
  <cols>
    <col min="2" max="2" width="10.42578125" customWidth="1"/>
    <col min="3" max="3" width="14.5703125" customWidth="1"/>
    <col min="4" max="4" width="12.7109375" customWidth="1"/>
  </cols>
  <sheetData>
    <row r="2" spans="2:5" ht="15" customHeight="1" x14ac:dyDescent="0.25">
      <c r="B2" s="55" t="s">
        <v>663</v>
      </c>
      <c r="C2" s="55"/>
      <c r="D2" s="55"/>
      <c r="E2" s="55"/>
    </row>
    <row r="4" spans="2:5" x14ac:dyDescent="0.25">
      <c r="B4" s="43" t="s">
        <v>642</v>
      </c>
      <c r="C4" s="43" t="s">
        <v>640</v>
      </c>
      <c r="D4" s="43" t="s">
        <v>643</v>
      </c>
      <c r="E4" s="43" t="s">
        <v>644</v>
      </c>
    </row>
    <row r="5" spans="2:5" x14ac:dyDescent="0.25">
      <c r="B5" s="44" t="s">
        <v>645</v>
      </c>
      <c r="C5" s="44" cm="1">
        <f t="array" ref="C5">SUMPRODUCT((MONTH(Ventas!B3:B281)=1)*Ventas!K3:K281)</f>
        <v>192480.25</v>
      </c>
      <c r="D5" s="44" cm="1">
        <f t="array" ref="D5">SUMPRODUCT((MONTH(Ventas!B3:B281)=1)*1)</f>
        <v>28</v>
      </c>
      <c r="E5" s="44">
        <f>AVERAGE(C5,D5)</f>
        <v>96254.125</v>
      </c>
    </row>
    <row r="6" spans="2:5" x14ac:dyDescent="0.25">
      <c r="B6" s="44" t="s">
        <v>646</v>
      </c>
      <c r="C6" s="44" cm="1">
        <f t="array" ref="C6">SUMPRODUCT((MONTH(Ventas!B3:B281)=2)*Ventas!K3:K281)</f>
        <v>134405.5</v>
      </c>
      <c r="D6" s="44" cm="1">
        <f t="array" ref="D6">SUMPRODUCT((MONTH(Ventas!B3:B281)=2)*1)</f>
        <v>18</v>
      </c>
      <c r="E6" s="44">
        <f t="shared" ref="E6:E16" si="0">AVERAGE(C6,D6)</f>
        <v>67211.75</v>
      </c>
    </row>
    <row r="7" spans="2:5" x14ac:dyDescent="0.25">
      <c r="B7" s="36" t="s">
        <v>647</v>
      </c>
      <c r="C7" s="36" cm="1">
        <f t="array" ref="C7">SUMPRODUCT((MONTH(Ventas!B3:B281)=3)*Ventas!K3:K281)</f>
        <v>235123.5</v>
      </c>
      <c r="D7" s="36" cm="1">
        <f t="array" ref="D7">SUMPRODUCT((MONTH(Ventas!B3:B281)=3)*1)</f>
        <v>28</v>
      </c>
      <c r="E7" s="36">
        <f t="shared" si="0"/>
        <v>117575.75</v>
      </c>
    </row>
    <row r="8" spans="2:5" x14ac:dyDescent="0.25">
      <c r="B8" s="44" t="s">
        <v>648</v>
      </c>
      <c r="C8" s="44" cm="1">
        <f t="array" ref="C8">SUMPRODUCT((MONTH(Ventas!B3:B281)=4)*Ventas!K3:K281)</f>
        <v>190678</v>
      </c>
      <c r="D8" s="44" cm="1">
        <f t="array" ref="D8">SUMPRODUCT((MONTH(Ventas!B3:B281)=4)*1)</f>
        <v>27</v>
      </c>
      <c r="E8" s="44">
        <f t="shared" si="0"/>
        <v>95352.5</v>
      </c>
    </row>
    <row r="9" spans="2:5" x14ac:dyDescent="0.25">
      <c r="B9" s="44" t="s">
        <v>649</v>
      </c>
      <c r="C9" s="44" cm="1">
        <f t="array" ref="C9">SUMPRODUCT((MONTH(Ventas!B3:B281)=5)*Ventas!K3:K281)</f>
        <v>108673.5</v>
      </c>
      <c r="D9" s="44" cm="1">
        <f t="array" ref="D9">SUMPRODUCT((MONTH(Ventas!B3:B281)=5)*1)</f>
        <v>26</v>
      </c>
      <c r="E9" s="44">
        <f t="shared" si="0"/>
        <v>54349.75</v>
      </c>
    </row>
    <row r="10" spans="2:5" x14ac:dyDescent="0.25">
      <c r="B10" s="44" t="s">
        <v>650</v>
      </c>
      <c r="C10" s="44" cm="1">
        <f t="array" ref="C10">SUMPRODUCT((MONTH(Ventas!B3:B281)=6)*Ventas!K3:K281)</f>
        <v>124635</v>
      </c>
      <c r="D10" s="44" cm="1">
        <f t="array" ref="D10">SUMPRODUCT((MONTH(Ventas!B3:B281)=6)*1)</f>
        <v>24</v>
      </c>
      <c r="E10" s="44">
        <f t="shared" si="0"/>
        <v>62329.5</v>
      </c>
    </row>
    <row r="11" spans="2:5" x14ac:dyDescent="0.25">
      <c r="B11" s="44" t="s">
        <v>651</v>
      </c>
      <c r="C11" s="44" cm="1">
        <f t="array" ref="C11">SUMPRODUCT((MONTH(Ventas!B3:B281)=7)*Ventas!K3:K281)</f>
        <v>161476.25</v>
      </c>
      <c r="D11" s="44" cm="1">
        <f t="array" ref="D11">SUMPRODUCT((MONTH(Ventas!B3:B281)=7)*1)</f>
        <v>21</v>
      </c>
      <c r="E11" s="44">
        <f t="shared" si="0"/>
        <v>80748.625</v>
      </c>
    </row>
    <row r="12" spans="2:5" x14ac:dyDescent="0.25">
      <c r="B12" s="44" t="s">
        <v>652</v>
      </c>
      <c r="C12" s="44" cm="1">
        <f t="array" ref="C12">SUMPRODUCT((MONTH(Ventas!B3:B281)=8)*Ventas!K3:K281)</f>
        <v>198255</v>
      </c>
      <c r="D12" s="44" cm="1">
        <f t="array" ref="D12">SUMPRODUCT((MONTH(Ventas!B3:B281)=8)*1)</f>
        <v>26</v>
      </c>
      <c r="E12" s="44">
        <f t="shared" si="0"/>
        <v>99140.5</v>
      </c>
    </row>
    <row r="13" spans="2:5" x14ac:dyDescent="0.25">
      <c r="B13" s="44" t="s">
        <v>653</v>
      </c>
      <c r="C13" s="44" cm="1">
        <f t="array" ref="C13">SUMPRODUCT((MONTH(Ventas!B3:B281)=9)*Ventas!K3:K281)</f>
        <v>92314.75</v>
      </c>
      <c r="D13" s="44" cm="1">
        <f t="array" ref="D13">SUMPRODUCT((MONTH(Ventas!B3:B281)=9)*1)</f>
        <v>22</v>
      </c>
      <c r="E13" s="44">
        <f t="shared" si="0"/>
        <v>46168.375</v>
      </c>
    </row>
    <row r="14" spans="2:5" x14ac:dyDescent="0.25">
      <c r="B14" s="44" t="s">
        <v>654</v>
      </c>
      <c r="C14" s="44" cm="1">
        <f t="array" ref="C14">SUMPRODUCT((MONTH(Ventas!B3:B281)=10)*Ventas!K3:K281)</f>
        <v>162757</v>
      </c>
      <c r="D14" s="44" cm="1">
        <f t="array" ref="D14">SUMPRODUCT((MONTH(Ventas!B3:B281)=10)*1)</f>
        <v>19</v>
      </c>
      <c r="E14" s="44">
        <f t="shared" si="0"/>
        <v>81388</v>
      </c>
    </row>
    <row r="15" spans="2:5" x14ac:dyDescent="0.25">
      <c r="B15" s="41" t="s">
        <v>655</v>
      </c>
      <c r="C15" s="41" cm="1">
        <f t="array" ref="C15">SUMPRODUCT((MONTH(Ventas!B3:B281)=11)*Ventas!K3:K281)</f>
        <v>90676.5</v>
      </c>
      <c r="D15" s="41" cm="1">
        <f t="array" ref="D15">SUMPRODUCT((MONTH(Ventas!B3:B281)=11)*1)</f>
        <v>19</v>
      </c>
      <c r="E15" s="41">
        <f t="shared" si="0"/>
        <v>45347.75</v>
      </c>
    </row>
    <row r="16" spans="2:5" x14ac:dyDescent="0.25">
      <c r="B16" s="46" t="s">
        <v>656</v>
      </c>
      <c r="C16" s="46" cm="1">
        <f t="array" ref="C16">SUMPRODUCT((MONTH(Ventas!B3:B281)=12)*Ventas!K3:K281)</f>
        <v>101846.75</v>
      </c>
      <c r="D16" s="46" cm="1">
        <f t="array" ref="D16">SUMPRODUCT((MONTH(Ventas!B3:B281)=12)*1)</f>
        <v>21</v>
      </c>
      <c r="E16" s="46">
        <f t="shared" si="0"/>
        <v>50933.875</v>
      </c>
    </row>
    <row r="17" spans="2:5" x14ac:dyDescent="0.25">
      <c r="B17" s="45" t="s">
        <v>657</v>
      </c>
      <c r="C17" s="45">
        <f>SUM(C5:C16)</f>
        <v>1793322</v>
      </c>
      <c r="D17" s="45">
        <f>SUM(D5:D16)</f>
        <v>279</v>
      </c>
      <c r="E17" s="45">
        <f>SUM(E5:E16)</f>
        <v>896800.5</v>
      </c>
    </row>
  </sheetData>
  <mergeCells count="1">
    <mergeCell ref="B2:E2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9BA0-7BC8-487D-9FB0-6C4FE75D31C8}">
  <dimension ref="B2:E19"/>
  <sheetViews>
    <sheetView workbookViewId="0">
      <selection activeCell="M12" sqref="M12"/>
    </sheetView>
  </sheetViews>
  <sheetFormatPr baseColWidth="10" defaultRowHeight="15" x14ac:dyDescent="0.25"/>
  <cols>
    <col min="2" max="2" width="12.28515625" customWidth="1"/>
    <col min="3" max="3" width="13.85546875" customWidth="1"/>
    <col min="4" max="4" width="12.5703125" customWidth="1"/>
    <col min="5" max="5" width="14.85546875" customWidth="1"/>
  </cols>
  <sheetData>
    <row r="2" spans="2:5" x14ac:dyDescent="0.25">
      <c r="B2" s="49" t="s">
        <v>658</v>
      </c>
      <c r="C2" s="49"/>
      <c r="D2" s="49"/>
      <c r="E2" s="49"/>
    </row>
    <row r="4" spans="2:5" x14ac:dyDescent="0.25">
      <c r="B4" s="50" t="s">
        <v>659</v>
      </c>
      <c r="C4" s="50"/>
      <c r="D4" s="50"/>
      <c r="E4" s="50"/>
    </row>
    <row r="5" spans="2:5" x14ac:dyDescent="0.25">
      <c r="B5" s="43" t="s">
        <v>627</v>
      </c>
      <c r="C5" s="43" t="s">
        <v>640</v>
      </c>
      <c r="D5" s="43" t="s">
        <v>643</v>
      </c>
      <c r="E5" s="43" t="s">
        <v>660</v>
      </c>
    </row>
    <row r="6" spans="2:5" x14ac:dyDescent="0.25">
      <c r="B6" s="36" t="s">
        <v>44</v>
      </c>
      <c r="C6" s="36">
        <f>SUMIF(Ventas!C3:C281, B6, Ventas!K3:K281)</f>
        <v>360906</v>
      </c>
      <c r="D6" s="36">
        <f>COUNTIF(Ventas!C3:C281, B6)</f>
        <v>49</v>
      </c>
      <c r="E6" s="40">
        <f>C6/SUM(C6:C11)</f>
        <v>0.20124997072472206</v>
      </c>
    </row>
    <row r="7" spans="2:5" x14ac:dyDescent="0.25">
      <c r="B7" s="36" t="s">
        <v>80</v>
      </c>
      <c r="C7" s="36">
        <f>SUMIF(Ventas!C3:C281, B7, Ventas!K3:K281)</f>
        <v>304999.5</v>
      </c>
      <c r="D7" s="36">
        <f>COUNTIF(Ventas!C3:C281, B7)</f>
        <v>44</v>
      </c>
      <c r="E7" s="40">
        <f>C7/SUM(C6:C11)</f>
        <v>0.17007514545630958</v>
      </c>
    </row>
    <row r="8" spans="2:5" x14ac:dyDescent="0.25">
      <c r="B8" s="36" t="s">
        <v>16</v>
      </c>
      <c r="C8" s="36">
        <f>SUMIF(Ventas!C3:C281, B8, Ventas!K3:K281)</f>
        <v>270691.75</v>
      </c>
      <c r="D8" s="36">
        <f>COUNTIF(Ventas!C3:C281, B8)</f>
        <v>44</v>
      </c>
      <c r="E8" s="40">
        <f>C8/SUM(C6:C11)</f>
        <v>0.15094430894172936</v>
      </c>
    </row>
    <row r="9" spans="2:5" x14ac:dyDescent="0.25">
      <c r="B9" s="36" t="s">
        <v>35</v>
      </c>
      <c r="C9" s="36">
        <f>SUMIF(Ventas!C3:C281, B9, Ventas!K3:K281)</f>
        <v>302819.5</v>
      </c>
      <c r="D9" s="36">
        <f>COUNTIF(Ventas!C3:C281, B9)</f>
        <v>46</v>
      </c>
      <c r="E9" s="40">
        <f>C9/SUM(C6:C11)</f>
        <v>0.16885952439104635</v>
      </c>
    </row>
    <row r="10" spans="2:5" x14ac:dyDescent="0.25">
      <c r="B10" s="36" t="s">
        <v>67</v>
      </c>
      <c r="C10" s="36">
        <f>SUMIF(Ventas!C3:C281, B10, Ventas!K3:K281)</f>
        <v>366852.25</v>
      </c>
      <c r="D10" s="36">
        <f>COUNTIF(Ventas!C3:C281, B10)</f>
        <v>54</v>
      </c>
      <c r="E10" s="40">
        <f>C10/SUM(C6:C11)</f>
        <v>0.20456574446753009</v>
      </c>
    </row>
    <row r="11" spans="2:5" x14ac:dyDescent="0.25">
      <c r="B11" s="38" t="s">
        <v>22</v>
      </c>
      <c r="C11" s="38">
        <f>SUMIF(Ventas!C3:C281, B11, Ventas!K3:K281)</f>
        <v>187053</v>
      </c>
      <c r="D11" s="38">
        <f>COUNTIF(Ventas!C3:C281, B11)</f>
        <v>42</v>
      </c>
      <c r="E11" s="39">
        <f>C11/SUM(C6:C11)</f>
        <v>0.10430530601866257</v>
      </c>
    </row>
    <row r="13" spans="2:5" x14ac:dyDescent="0.25">
      <c r="B13" s="50" t="s">
        <v>661</v>
      </c>
      <c r="C13" s="50"/>
      <c r="D13" s="50"/>
      <c r="E13" s="50"/>
    </row>
    <row r="14" spans="2:5" x14ac:dyDescent="0.25">
      <c r="B14" s="43" t="s">
        <v>662</v>
      </c>
      <c r="C14" s="43" t="s">
        <v>640</v>
      </c>
      <c r="D14" s="43" t="s">
        <v>643</v>
      </c>
      <c r="E14" s="43" t="s">
        <v>660</v>
      </c>
    </row>
    <row r="15" spans="2:5" x14ac:dyDescent="0.25">
      <c r="B15" s="36" t="s">
        <v>18</v>
      </c>
      <c r="C15" s="37">
        <f>SUMIF(Ventas!E3:E281, B15, Ventas!K3:K281)</f>
        <v>909400</v>
      </c>
      <c r="D15" s="36">
        <f>COUNTIF(Ventas!E3:E281, B15)</f>
        <v>53</v>
      </c>
      <c r="E15" s="40">
        <f>C15/SUM(C15:C19)</f>
        <v>0.50710357649100379</v>
      </c>
    </row>
    <row r="16" spans="2:5" x14ac:dyDescent="0.25">
      <c r="B16" s="36" t="s">
        <v>31</v>
      </c>
      <c r="C16" s="37">
        <f>SUMIF(Ventas!E3:E281, B16, Ventas!K3:K281)</f>
        <v>397792.5</v>
      </c>
      <c r="D16" s="36">
        <f>COUNTIF(Ventas!E3:E281, B16)</f>
        <v>58</v>
      </c>
      <c r="E16" s="40">
        <f>C16/SUM(C15:C19)</f>
        <v>0.2218187810108837</v>
      </c>
    </row>
    <row r="17" spans="2:5" x14ac:dyDescent="0.25">
      <c r="B17" s="41" t="s">
        <v>49</v>
      </c>
      <c r="C17" s="41">
        <f>SUMIF(Ventas!E3:E281, B17, Ventas!K3:K281)</f>
        <v>67833.5</v>
      </c>
      <c r="D17" s="41">
        <f>COUNTIF(Ventas!E3:E281, B17)</f>
        <v>54</v>
      </c>
      <c r="E17" s="42">
        <f>C17/SUM(C15:C19)</f>
        <v>3.7825610793822857E-2</v>
      </c>
    </row>
    <row r="18" spans="2:5" x14ac:dyDescent="0.25">
      <c r="B18" s="36" t="s">
        <v>24</v>
      </c>
      <c r="C18" s="37">
        <f>SUMIF(Ventas!E3:E281, B18, Ventas!K3:K281)</f>
        <v>82777.5</v>
      </c>
      <c r="D18" s="36">
        <f>COUNTIF(Ventas!E3:E281, B18)</f>
        <v>56</v>
      </c>
      <c r="E18" s="40">
        <f>C18/SUM(C15:C19)</f>
        <v>4.6158748958636545E-2</v>
      </c>
    </row>
    <row r="19" spans="2:5" x14ac:dyDescent="0.25">
      <c r="B19" s="36" t="s">
        <v>36</v>
      </c>
      <c r="C19" s="37">
        <f>SUMIF(Ventas!E3:E281, B19, Ventas!K3:K281)</f>
        <v>335518.5</v>
      </c>
      <c r="D19" s="36">
        <f>COUNTIF(Ventas!E3:E281, B19)</f>
        <v>58</v>
      </c>
      <c r="E19" s="40">
        <f>C19/SUM(C15:C19)</f>
        <v>0.18709328274565304</v>
      </c>
    </row>
  </sheetData>
  <mergeCells count="3">
    <mergeCell ref="B2:E2"/>
    <mergeCell ref="B4:E4"/>
    <mergeCell ref="B13:E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36FD-69B6-4696-87D1-716CB8724B30}">
  <sheetPr codeName="Hoja3"/>
  <dimension ref="A1:H14"/>
  <sheetViews>
    <sheetView zoomScaleNormal="100" workbookViewId="0">
      <selection activeCell="H19" sqref="H19"/>
    </sheetView>
  </sheetViews>
  <sheetFormatPr baseColWidth="10" defaultRowHeight="15" x14ac:dyDescent="0.25"/>
  <cols>
    <col min="1" max="1" width="21.28515625" bestFit="1" customWidth="1"/>
    <col min="2" max="2" width="22.42578125" bestFit="1" customWidth="1"/>
    <col min="3" max="3" width="10.5703125" bestFit="1" customWidth="1"/>
    <col min="4" max="4" width="11.28515625" bestFit="1" customWidth="1"/>
    <col min="5" max="5" width="10.28515625" bestFit="1" customWidth="1"/>
    <col min="6" max="6" width="10.7109375" bestFit="1" customWidth="1"/>
    <col min="7" max="7" width="10" bestFit="1" customWidth="1"/>
    <col min="8" max="9" width="12.5703125" bestFit="1" customWidth="1"/>
    <col min="10" max="11" width="11.85546875" bestFit="1" customWidth="1"/>
  </cols>
  <sheetData>
    <row r="1" spans="1:8" ht="23.25" x14ac:dyDescent="0.35">
      <c r="A1" s="57" t="s">
        <v>665</v>
      </c>
      <c r="B1" s="58"/>
      <c r="C1" s="58"/>
      <c r="D1" s="58"/>
      <c r="E1" s="58"/>
      <c r="F1" s="58"/>
      <c r="G1" s="58"/>
      <c r="H1" s="58"/>
    </row>
    <row r="3" spans="1:8" x14ac:dyDescent="0.25">
      <c r="A3" s="33" t="s">
        <v>626</v>
      </c>
      <c r="B3" s="33" t="s">
        <v>625</v>
      </c>
    </row>
    <row r="4" spans="1:8" x14ac:dyDescent="0.25">
      <c r="A4" s="33" t="s">
        <v>623</v>
      </c>
      <c r="B4" t="s">
        <v>44</v>
      </c>
      <c r="C4" t="s">
        <v>80</v>
      </c>
      <c r="D4" t="s">
        <v>16</v>
      </c>
      <c r="E4" t="s">
        <v>35</v>
      </c>
      <c r="F4" t="s">
        <v>67</v>
      </c>
      <c r="G4" t="s">
        <v>22</v>
      </c>
      <c r="H4" t="s">
        <v>624</v>
      </c>
    </row>
    <row r="5" spans="1:8" x14ac:dyDescent="0.25">
      <c r="A5" s="34" t="s">
        <v>18</v>
      </c>
      <c r="B5">
        <v>100225</v>
      </c>
      <c r="C5">
        <v>9520</v>
      </c>
      <c r="D5">
        <v>104075</v>
      </c>
      <c r="E5">
        <v>128040</v>
      </c>
      <c r="F5">
        <v>97215</v>
      </c>
      <c r="G5">
        <v>33380</v>
      </c>
      <c r="H5">
        <v>472455</v>
      </c>
    </row>
    <row r="6" spans="1:8" x14ac:dyDescent="0.25">
      <c r="A6" s="34" t="s">
        <v>49</v>
      </c>
      <c r="B6">
        <v>8918</v>
      </c>
      <c r="C6">
        <v>6140</v>
      </c>
      <c r="D6">
        <v>2091.5</v>
      </c>
      <c r="E6">
        <v>3710</v>
      </c>
      <c r="F6">
        <v>5164</v>
      </c>
      <c r="G6">
        <v>4161</v>
      </c>
      <c r="H6">
        <v>30184.5</v>
      </c>
    </row>
    <row r="7" spans="1:8" x14ac:dyDescent="0.25">
      <c r="A7" s="34" t="s">
        <v>36</v>
      </c>
      <c r="B7">
        <v>16480.5</v>
      </c>
      <c r="C7">
        <v>5233</v>
      </c>
      <c r="D7">
        <v>24768</v>
      </c>
      <c r="E7">
        <v>3885</v>
      </c>
      <c r="F7">
        <v>66032.5</v>
      </c>
      <c r="G7">
        <v>32004</v>
      </c>
      <c r="H7">
        <v>148403</v>
      </c>
    </row>
    <row r="8" spans="1:8" x14ac:dyDescent="0.25">
      <c r="A8" s="34" t="s">
        <v>624</v>
      </c>
      <c r="B8">
        <v>125623.5</v>
      </c>
      <c r="C8">
        <v>20893</v>
      </c>
      <c r="D8">
        <v>130934.5</v>
      </c>
      <c r="E8">
        <v>135635</v>
      </c>
      <c r="F8">
        <v>168411.5</v>
      </c>
      <c r="G8">
        <v>69545</v>
      </c>
      <c r="H8">
        <v>651042.5</v>
      </c>
    </row>
    <row r="14" spans="1:8" x14ac:dyDescent="0.25">
      <c r="A14" s="34"/>
    </row>
  </sheetData>
  <mergeCells count="1">
    <mergeCell ref="A1:H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281"/>
  <sheetViews>
    <sheetView showGridLines="0" topLeftCell="D1" zoomScaleNormal="100" workbookViewId="0">
      <pane ySplit="2" topLeftCell="A3" activePane="bottomLeft" state="frozen"/>
      <selection pane="bottomLeft" activeCell="C9" sqref="C9"/>
    </sheetView>
  </sheetViews>
  <sheetFormatPr baseColWidth="10" defaultColWidth="8.7109375" defaultRowHeight="15" x14ac:dyDescent="0.25"/>
  <cols>
    <col min="1" max="1" width="10" customWidth="1"/>
    <col min="2" max="2" width="13" customWidth="1"/>
    <col min="3" max="3" width="16" customWidth="1"/>
    <col min="4" max="5" width="14" customWidth="1"/>
    <col min="6" max="6" width="22" customWidth="1"/>
    <col min="7" max="7" width="10" customWidth="1"/>
    <col min="8" max="8" width="13" customWidth="1"/>
    <col min="9" max="9" width="11" customWidth="1"/>
    <col min="10" max="10" width="15" customWidth="1"/>
    <col min="11" max="11" width="14" customWidth="1"/>
    <col min="12" max="13" width="13" customWidth="1"/>
    <col min="14" max="14" width="11.85546875" bestFit="1" customWidth="1"/>
  </cols>
  <sheetData>
    <row r="1" spans="1:14" ht="30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4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5" t="s">
        <v>10</v>
      </c>
      <c r="K2" s="1" t="s">
        <v>11</v>
      </c>
      <c r="L2" s="1" t="s">
        <v>12</v>
      </c>
      <c r="M2" s="1" t="s">
        <v>13</v>
      </c>
      <c r="N2" s="14" t="s">
        <v>615</v>
      </c>
    </row>
    <row r="3" spans="1:14" ht="15" customHeight="1" x14ac:dyDescent="0.25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4">
        <v>4</v>
      </c>
      <c r="H3" s="5">
        <v>2500</v>
      </c>
      <c r="I3" s="6">
        <v>0</v>
      </c>
      <c r="J3" s="5">
        <f>G3*H3</f>
        <v>10000</v>
      </c>
      <c r="K3" s="5">
        <f>J3*(1-I3)</f>
        <v>10000</v>
      </c>
      <c r="L3" s="5">
        <v>1427.33</v>
      </c>
      <c r="M3" s="5">
        <f>K3-G3*L3</f>
        <v>4290.68</v>
      </c>
      <c r="N3" t="str">
        <f>IF(K3&gt;=5000,"Meta Cumplida","Meta No Alcanzada")</f>
        <v>Meta Cumplida</v>
      </c>
    </row>
    <row r="4" spans="1:14" ht="15" customHeight="1" x14ac:dyDescent="0.25">
      <c r="A4" s="7" t="s">
        <v>20</v>
      </c>
      <c r="B4" s="8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9">
        <v>1</v>
      </c>
      <c r="H4" s="10">
        <v>180</v>
      </c>
      <c r="I4" s="11">
        <v>0</v>
      </c>
      <c r="J4" s="10">
        <f t="shared" ref="J4:J66" si="0">G4*H4</f>
        <v>180</v>
      </c>
      <c r="K4" s="10">
        <f>J4*(1-I4)</f>
        <v>180</v>
      </c>
      <c r="L4" s="10">
        <v>101.53</v>
      </c>
      <c r="M4" s="10">
        <f>K4-G4*L4</f>
        <v>78.47</v>
      </c>
      <c r="N4" t="str">
        <f t="shared" ref="N4:N67" si="1">IF(K4&gt;=5000,"Meta Cumplida","Meta No Alcanzada")</f>
        <v>Meta No Alcanzada</v>
      </c>
    </row>
    <row r="5" spans="1:14" ht="15" customHeight="1" x14ac:dyDescent="0.25">
      <c r="A5" s="2" t="s">
        <v>26</v>
      </c>
      <c r="B5" s="3" t="s">
        <v>27</v>
      </c>
      <c r="C5" s="2" t="s">
        <v>22</v>
      </c>
      <c r="D5" s="2" t="s">
        <v>28</v>
      </c>
      <c r="E5" s="2" t="s">
        <v>24</v>
      </c>
      <c r="F5" s="2" t="s">
        <v>25</v>
      </c>
      <c r="G5" s="4">
        <v>12</v>
      </c>
      <c r="H5" s="5">
        <v>180</v>
      </c>
      <c r="I5" s="6">
        <v>0.15</v>
      </c>
      <c r="J5" s="5">
        <f t="shared" si="0"/>
        <v>2160</v>
      </c>
      <c r="K5" s="5">
        <f>J5*(1-I5)</f>
        <v>1836</v>
      </c>
      <c r="L5" s="5">
        <v>117.94</v>
      </c>
      <c r="M5" s="5">
        <f t="shared" ref="M5:M66" si="2">K5-G5*L5</f>
        <v>420.72</v>
      </c>
      <c r="N5" t="str">
        <f t="shared" si="1"/>
        <v>Meta No Alcanzada</v>
      </c>
    </row>
    <row r="6" spans="1:14" ht="15" customHeight="1" x14ac:dyDescent="0.25">
      <c r="A6" s="7" t="s">
        <v>29</v>
      </c>
      <c r="B6" s="8" t="s">
        <v>30</v>
      </c>
      <c r="C6" s="7" t="s">
        <v>22</v>
      </c>
      <c r="D6" s="7" t="s">
        <v>17</v>
      </c>
      <c r="E6" s="7" t="s">
        <v>31</v>
      </c>
      <c r="F6" s="7" t="s">
        <v>32</v>
      </c>
      <c r="G6" s="9">
        <v>13</v>
      </c>
      <c r="H6" s="10">
        <v>480</v>
      </c>
      <c r="I6" s="11">
        <v>0</v>
      </c>
      <c r="J6" s="10">
        <f t="shared" si="0"/>
        <v>6240</v>
      </c>
      <c r="K6" s="10">
        <f>J6*(1-I6)</f>
        <v>6240</v>
      </c>
      <c r="L6" s="10">
        <v>318.63</v>
      </c>
      <c r="M6" s="10">
        <f t="shared" si="2"/>
        <v>2097.8100000000004</v>
      </c>
      <c r="N6" t="str">
        <f t="shared" si="1"/>
        <v>Meta Cumplida</v>
      </c>
    </row>
    <row r="7" spans="1:14" ht="15" customHeight="1" x14ac:dyDescent="0.25">
      <c r="A7" s="2" t="s">
        <v>33</v>
      </c>
      <c r="B7" s="3" t="s">
        <v>34</v>
      </c>
      <c r="C7" s="2" t="s">
        <v>35</v>
      </c>
      <c r="D7" s="2" t="s">
        <v>28</v>
      </c>
      <c r="E7" s="2" t="s">
        <v>36</v>
      </c>
      <c r="F7" s="2" t="s">
        <v>37</v>
      </c>
      <c r="G7" s="4">
        <v>4</v>
      </c>
      <c r="H7" s="5">
        <v>1800</v>
      </c>
      <c r="I7" s="6">
        <v>0</v>
      </c>
      <c r="J7" s="5">
        <f t="shared" si="0"/>
        <v>7200</v>
      </c>
      <c r="K7" s="5">
        <f>J7*(1-I7)</f>
        <v>7200</v>
      </c>
      <c r="L7" s="5">
        <v>1017.6</v>
      </c>
      <c r="M7" s="5">
        <f t="shared" si="2"/>
        <v>3129.6</v>
      </c>
      <c r="N7" t="str">
        <f t="shared" si="1"/>
        <v>Meta Cumplida</v>
      </c>
    </row>
    <row r="8" spans="1:14" ht="15" customHeight="1" x14ac:dyDescent="0.25">
      <c r="A8" s="7" t="s">
        <v>38</v>
      </c>
      <c r="B8" s="8" t="s">
        <v>39</v>
      </c>
      <c r="C8" s="7" t="s">
        <v>35</v>
      </c>
      <c r="D8" s="7" t="s">
        <v>40</v>
      </c>
      <c r="E8" s="7" t="s">
        <v>18</v>
      </c>
      <c r="F8" s="7" t="s">
        <v>41</v>
      </c>
      <c r="G8" s="9">
        <v>5</v>
      </c>
      <c r="H8" s="10">
        <v>2800</v>
      </c>
      <c r="I8" s="11">
        <v>0</v>
      </c>
      <c r="J8" s="10">
        <f t="shared" si="0"/>
        <v>14000</v>
      </c>
      <c r="K8" s="10">
        <f t="shared" ref="K8:K66" si="3">J8*(1-I8)</f>
        <v>14000</v>
      </c>
      <c r="L8" s="10">
        <v>1846.49</v>
      </c>
      <c r="M8" s="10">
        <f t="shared" si="2"/>
        <v>4767.5499999999993</v>
      </c>
      <c r="N8" t="str">
        <f t="shared" si="1"/>
        <v>Meta Cumplida</v>
      </c>
    </row>
    <row r="9" spans="1:14" ht="15" customHeight="1" x14ac:dyDescent="0.25">
      <c r="A9" s="2" t="s">
        <v>42</v>
      </c>
      <c r="B9" s="3" t="s">
        <v>43</v>
      </c>
      <c r="C9" s="2" t="s">
        <v>44</v>
      </c>
      <c r="D9" s="2" t="s">
        <v>40</v>
      </c>
      <c r="E9" s="2" t="s">
        <v>18</v>
      </c>
      <c r="F9" s="2" t="s">
        <v>45</v>
      </c>
      <c r="G9" s="4">
        <v>5</v>
      </c>
      <c r="H9" s="5">
        <v>2100</v>
      </c>
      <c r="I9" s="6">
        <v>0.15</v>
      </c>
      <c r="J9" s="5">
        <f t="shared" si="0"/>
        <v>10500</v>
      </c>
      <c r="K9" s="5">
        <f t="shared" si="3"/>
        <v>8925</v>
      </c>
      <c r="L9" s="5">
        <v>1349.83</v>
      </c>
      <c r="M9" s="5">
        <f t="shared" si="2"/>
        <v>2175.8500000000004</v>
      </c>
      <c r="N9" t="str">
        <f t="shared" si="1"/>
        <v>Meta Cumplida</v>
      </c>
    </row>
    <row r="10" spans="1:14" ht="15" customHeight="1" x14ac:dyDescent="0.25">
      <c r="A10" s="7" t="s">
        <v>46</v>
      </c>
      <c r="B10" s="8" t="s">
        <v>47</v>
      </c>
      <c r="C10" s="7" t="s">
        <v>16</v>
      </c>
      <c r="D10" s="7" t="s">
        <v>48</v>
      </c>
      <c r="E10" s="7" t="s">
        <v>49</v>
      </c>
      <c r="F10" s="7" t="s">
        <v>50</v>
      </c>
      <c r="G10" s="9">
        <v>1</v>
      </c>
      <c r="H10" s="10">
        <v>85</v>
      </c>
      <c r="I10" s="11">
        <v>0.15</v>
      </c>
      <c r="J10" s="10">
        <f t="shared" si="0"/>
        <v>85</v>
      </c>
      <c r="K10" s="10">
        <f t="shared" si="3"/>
        <v>72.25</v>
      </c>
      <c r="L10" s="10">
        <v>49.66</v>
      </c>
      <c r="M10" s="10">
        <f t="shared" si="2"/>
        <v>22.590000000000003</v>
      </c>
      <c r="N10" t="str">
        <f t="shared" si="1"/>
        <v>Meta No Alcanzada</v>
      </c>
    </row>
    <row r="11" spans="1:14" ht="15" customHeight="1" x14ac:dyDescent="0.25">
      <c r="A11" s="2" t="s">
        <v>51</v>
      </c>
      <c r="B11" s="3" t="s">
        <v>52</v>
      </c>
      <c r="C11" s="2" t="s">
        <v>44</v>
      </c>
      <c r="D11" s="2" t="s">
        <v>23</v>
      </c>
      <c r="E11" s="2" t="s">
        <v>18</v>
      </c>
      <c r="F11" s="2" t="s">
        <v>53</v>
      </c>
      <c r="G11" s="4">
        <v>5</v>
      </c>
      <c r="H11" s="5">
        <v>2200</v>
      </c>
      <c r="I11" s="6">
        <v>0.05</v>
      </c>
      <c r="J11" s="5">
        <f t="shared" si="0"/>
        <v>11000</v>
      </c>
      <c r="K11" s="5">
        <f t="shared" si="3"/>
        <v>10450</v>
      </c>
      <c r="L11" s="5">
        <v>1419.78</v>
      </c>
      <c r="M11" s="5">
        <f>K11-G11*L11</f>
        <v>3351.1000000000004</v>
      </c>
      <c r="N11" t="str">
        <f t="shared" si="1"/>
        <v>Meta Cumplida</v>
      </c>
    </row>
    <row r="12" spans="1:14" ht="17.25" customHeight="1" x14ac:dyDescent="0.25">
      <c r="A12" s="7" t="s">
        <v>54</v>
      </c>
      <c r="B12" s="8" t="s">
        <v>55</v>
      </c>
      <c r="C12" s="7" t="s">
        <v>35</v>
      </c>
      <c r="D12" s="7" t="s">
        <v>28</v>
      </c>
      <c r="E12" s="7" t="s">
        <v>31</v>
      </c>
      <c r="F12" s="7" t="s">
        <v>56</v>
      </c>
      <c r="G12" s="9">
        <v>11</v>
      </c>
      <c r="H12" s="10">
        <v>1200</v>
      </c>
      <c r="I12" s="11">
        <v>0</v>
      </c>
      <c r="J12" s="10">
        <f t="shared" si="0"/>
        <v>13200</v>
      </c>
      <c r="K12" s="10">
        <f t="shared" si="3"/>
        <v>13200</v>
      </c>
      <c r="L12" s="10">
        <v>786.33</v>
      </c>
      <c r="M12" s="10">
        <f t="shared" si="2"/>
        <v>4550.369999999999</v>
      </c>
      <c r="N12" t="str">
        <f t="shared" si="1"/>
        <v>Meta Cumplida</v>
      </c>
    </row>
    <row r="13" spans="1:14" ht="18" customHeight="1" x14ac:dyDescent="0.25">
      <c r="A13" s="2" t="s">
        <v>57</v>
      </c>
      <c r="B13" s="3" t="s">
        <v>58</v>
      </c>
      <c r="C13" s="2" t="s">
        <v>22</v>
      </c>
      <c r="D13" s="2" t="s">
        <v>59</v>
      </c>
      <c r="E13" s="2" t="s">
        <v>18</v>
      </c>
      <c r="F13" s="2" t="s">
        <v>53</v>
      </c>
      <c r="G13" s="4">
        <v>4</v>
      </c>
      <c r="H13" s="5">
        <v>2200</v>
      </c>
      <c r="I13" s="6">
        <v>0</v>
      </c>
      <c r="J13" s="5">
        <f t="shared" si="0"/>
        <v>8800</v>
      </c>
      <c r="K13" s="5">
        <f t="shared" si="3"/>
        <v>8800</v>
      </c>
      <c r="L13" s="5">
        <v>1362.55</v>
      </c>
      <c r="M13" s="5">
        <f t="shared" si="2"/>
        <v>3349.8</v>
      </c>
      <c r="N13" t="str">
        <f t="shared" si="1"/>
        <v>Meta Cumplida</v>
      </c>
    </row>
    <row r="14" spans="1:14" ht="15" customHeight="1" x14ac:dyDescent="0.25">
      <c r="A14" s="7" t="s">
        <v>60</v>
      </c>
      <c r="B14" s="8" t="s">
        <v>61</v>
      </c>
      <c r="C14" s="7" t="s">
        <v>16</v>
      </c>
      <c r="D14" s="7" t="s">
        <v>17</v>
      </c>
      <c r="E14" s="7" t="s">
        <v>24</v>
      </c>
      <c r="F14" s="7" t="s">
        <v>62</v>
      </c>
      <c r="G14" s="9">
        <v>14</v>
      </c>
      <c r="H14" s="10">
        <v>220</v>
      </c>
      <c r="I14" s="11">
        <v>0</v>
      </c>
      <c r="J14" s="10">
        <f t="shared" si="0"/>
        <v>3080</v>
      </c>
      <c r="K14" s="10">
        <f>J14*(1-I14)</f>
        <v>3080</v>
      </c>
      <c r="L14" s="10">
        <v>128.56</v>
      </c>
      <c r="M14" s="10">
        <f t="shared" si="2"/>
        <v>1280.1599999999999</v>
      </c>
      <c r="N14" t="str">
        <f t="shared" si="1"/>
        <v>Meta No Alcanzada</v>
      </c>
    </row>
    <row r="15" spans="1:14" ht="15" customHeight="1" x14ac:dyDescent="0.25">
      <c r="A15" s="2" t="s">
        <v>63</v>
      </c>
      <c r="B15" s="3" t="s">
        <v>64</v>
      </c>
      <c r="C15" s="2" t="s">
        <v>35</v>
      </c>
      <c r="D15" s="2" t="s">
        <v>48</v>
      </c>
      <c r="E15" s="2" t="s">
        <v>49</v>
      </c>
      <c r="F15" s="2" t="s">
        <v>65</v>
      </c>
      <c r="G15" s="4">
        <v>4</v>
      </c>
      <c r="H15" s="5">
        <v>220</v>
      </c>
      <c r="I15" s="6">
        <v>0.1</v>
      </c>
      <c r="J15" s="5">
        <f t="shared" si="0"/>
        <v>880</v>
      </c>
      <c r="K15" s="5">
        <f t="shared" si="3"/>
        <v>792</v>
      </c>
      <c r="L15" s="5">
        <v>149.91999999999999</v>
      </c>
      <c r="M15" s="5">
        <f t="shared" si="2"/>
        <v>192.32000000000005</v>
      </c>
      <c r="N15" t="str">
        <f t="shared" si="1"/>
        <v>Meta No Alcanzada</v>
      </c>
    </row>
    <row r="16" spans="1:14" ht="15" customHeight="1" x14ac:dyDescent="0.25">
      <c r="A16" s="7" t="s">
        <v>66</v>
      </c>
      <c r="B16" s="8" t="s">
        <v>21</v>
      </c>
      <c r="C16" s="7" t="s">
        <v>67</v>
      </c>
      <c r="D16" s="7" t="s">
        <v>59</v>
      </c>
      <c r="E16" s="7" t="s">
        <v>31</v>
      </c>
      <c r="F16" s="7" t="s">
        <v>32</v>
      </c>
      <c r="G16" s="9">
        <v>8</v>
      </c>
      <c r="H16" s="10">
        <v>480</v>
      </c>
      <c r="I16" s="11">
        <v>0</v>
      </c>
      <c r="J16" s="10">
        <f t="shared" si="0"/>
        <v>3840</v>
      </c>
      <c r="K16" s="10">
        <f>J16*(1-I16)</f>
        <v>3840</v>
      </c>
      <c r="L16" s="10">
        <v>283.07</v>
      </c>
      <c r="M16" s="10">
        <f t="shared" si="2"/>
        <v>1575.44</v>
      </c>
      <c r="N16" t="str">
        <f t="shared" si="1"/>
        <v>Meta No Alcanzada</v>
      </c>
    </row>
    <row r="17" spans="1:14" ht="15" customHeight="1" x14ac:dyDescent="0.25">
      <c r="A17" s="2" t="s">
        <v>68</v>
      </c>
      <c r="B17" s="3" t="s">
        <v>21</v>
      </c>
      <c r="C17" s="2" t="s">
        <v>16</v>
      </c>
      <c r="D17" s="2" t="s">
        <v>40</v>
      </c>
      <c r="E17" s="2" t="s">
        <v>24</v>
      </c>
      <c r="F17" s="2" t="s">
        <v>69</v>
      </c>
      <c r="G17" s="4">
        <v>7</v>
      </c>
      <c r="H17" s="5">
        <v>95</v>
      </c>
      <c r="I17" s="6">
        <v>0.1</v>
      </c>
      <c r="J17" s="5">
        <f t="shared" si="0"/>
        <v>665</v>
      </c>
      <c r="K17" s="5">
        <f>J17*(1-I17)</f>
        <v>598.5</v>
      </c>
      <c r="L17" s="5">
        <v>57.94</v>
      </c>
      <c r="M17" s="5">
        <f t="shared" si="2"/>
        <v>192.92000000000002</v>
      </c>
      <c r="N17" t="str">
        <f t="shared" si="1"/>
        <v>Meta No Alcanzada</v>
      </c>
    </row>
    <row r="18" spans="1:14" ht="15" customHeight="1" x14ac:dyDescent="0.25">
      <c r="A18" s="7" t="s">
        <v>70</v>
      </c>
      <c r="B18" s="8" t="s">
        <v>30</v>
      </c>
      <c r="C18" s="7" t="s">
        <v>44</v>
      </c>
      <c r="D18" s="7" t="s">
        <v>48</v>
      </c>
      <c r="E18" s="7" t="s">
        <v>31</v>
      </c>
      <c r="F18" s="7" t="s">
        <v>32</v>
      </c>
      <c r="G18" s="9">
        <v>14</v>
      </c>
      <c r="H18" s="10">
        <v>480</v>
      </c>
      <c r="I18" s="11">
        <v>0</v>
      </c>
      <c r="J18" s="10">
        <f t="shared" si="0"/>
        <v>6720</v>
      </c>
      <c r="K18" s="10">
        <f t="shared" si="3"/>
        <v>6720</v>
      </c>
      <c r="L18" s="10">
        <v>275</v>
      </c>
      <c r="M18" s="10">
        <f t="shared" si="2"/>
        <v>2870</v>
      </c>
      <c r="N18" t="str">
        <f t="shared" si="1"/>
        <v>Meta Cumplida</v>
      </c>
    </row>
    <row r="19" spans="1:14" ht="15" customHeight="1" x14ac:dyDescent="0.25">
      <c r="A19" s="2" t="s">
        <v>71</v>
      </c>
      <c r="B19" s="3" t="s">
        <v>39</v>
      </c>
      <c r="C19" s="2" t="s">
        <v>67</v>
      </c>
      <c r="D19" s="2" t="s">
        <v>23</v>
      </c>
      <c r="E19" s="2" t="s">
        <v>36</v>
      </c>
      <c r="F19" s="2" t="s">
        <v>72</v>
      </c>
      <c r="G19" s="4">
        <v>10</v>
      </c>
      <c r="H19" s="5">
        <v>350</v>
      </c>
      <c r="I19" s="6">
        <v>0.05</v>
      </c>
      <c r="J19" s="5">
        <f t="shared" si="0"/>
        <v>3500</v>
      </c>
      <c r="K19" s="5">
        <f t="shared" si="3"/>
        <v>3325</v>
      </c>
      <c r="L19" s="5">
        <v>220.28</v>
      </c>
      <c r="M19" s="5">
        <f t="shared" si="2"/>
        <v>1122.1999999999998</v>
      </c>
      <c r="N19" t="str">
        <f t="shared" si="1"/>
        <v>Meta No Alcanzada</v>
      </c>
    </row>
    <row r="20" spans="1:14" ht="15" customHeight="1" x14ac:dyDescent="0.25">
      <c r="A20" s="7" t="s">
        <v>73</v>
      </c>
      <c r="B20" s="8" t="s">
        <v>64</v>
      </c>
      <c r="C20" s="7" t="s">
        <v>16</v>
      </c>
      <c r="D20" s="7" t="s">
        <v>40</v>
      </c>
      <c r="E20" s="7" t="s">
        <v>18</v>
      </c>
      <c r="F20" s="7" t="s">
        <v>19</v>
      </c>
      <c r="G20" s="9">
        <v>13</v>
      </c>
      <c r="H20" s="10">
        <v>2500</v>
      </c>
      <c r="I20" s="11">
        <v>0</v>
      </c>
      <c r="J20" s="10">
        <f t="shared" si="0"/>
        <v>32500</v>
      </c>
      <c r="K20" s="10">
        <f t="shared" si="3"/>
        <v>32500</v>
      </c>
      <c r="L20" s="10">
        <v>1663.22</v>
      </c>
      <c r="M20" s="10">
        <f t="shared" si="2"/>
        <v>10878.14</v>
      </c>
      <c r="N20" t="str">
        <f t="shared" si="1"/>
        <v>Meta Cumplida</v>
      </c>
    </row>
    <row r="21" spans="1:14" ht="15" customHeight="1" x14ac:dyDescent="0.25">
      <c r="A21" s="2" t="s">
        <v>74</v>
      </c>
      <c r="B21" s="3" t="s">
        <v>75</v>
      </c>
      <c r="C21" s="2" t="s">
        <v>67</v>
      </c>
      <c r="D21" s="2" t="s">
        <v>28</v>
      </c>
      <c r="E21" s="2" t="s">
        <v>18</v>
      </c>
      <c r="F21" s="2" t="s">
        <v>41</v>
      </c>
      <c r="G21" s="4">
        <v>8</v>
      </c>
      <c r="H21" s="5">
        <v>2800</v>
      </c>
      <c r="I21" s="6">
        <v>0</v>
      </c>
      <c r="J21" s="5">
        <f t="shared" si="0"/>
        <v>22400</v>
      </c>
      <c r="K21" s="5">
        <f t="shared" si="3"/>
        <v>22400</v>
      </c>
      <c r="L21" s="5">
        <v>1940.6</v>
      </c>
      <c r="M21" s="5">
        <f t="shared" si="2"/>
        <v>6875.2000000000007</v>
      </c>
      <c r="N21" t="str">
        <f t="shared" si="1"/>
        <v>Meta Cumplida</v>
      </c>
    </row>
    <row r="22" spans="1:14" ht="15" customHeight="1" x14ac:dyDescent="0.25">
      <c r="A22" s="7" t="s">
        <v>76</v>
      </c>
      <c r="B22" s="8" t="s">
        <v>77</v>
      </c>
      <c r="C22" s="7" t="s">
        <v>22</v>
      </c>
      <c r="D22" s="7" t="s">
        <v>48</v>
      </c>
      <c r="E22" s="7" t="s">
        <v>49</v>
      </c>
      <c r="F22" s="7" t="s">
        <v>50</v>
      </c>
      <c r="G22" s="9">
        <v>14</v>
      </c>
      <c r="H22" s="10">
        <v>85</v>
      </c>
      <c r="I22" s="11">
        <v>0.15</v>
      </c>
      <c r="J22" s="10">
        <f t="shared" si="0"/>
        <v>1190</v>
      </c>
      <c r="K22" s="10">
        <f t="shared" si="3"/>
        <v>1011.5</v>
      </c>
      <c r="L22" s="10">
        <v>50.56</v>
      </c>
      <c r="M22" s="10">
        <f t="shared" si="2"/>
        <v>303.65999999999997</v>
      </c>
      <c r="N22" t="str">
        <f t="shared" si="1"/>
        <v>Meta No Alcanzada</v>
      </c>
    </row>
    <row r="23" spans="1:14" ht="15" customHeight="1" x14ac:dyDescent="0.25">
      <c r="A23" s="2" t="s">
        <v>78</v>
      </c>
      <c r="B23" s="3" t="s">
        <v>79</v>
      </c>
      <c r="C23" s="2" t="s">
        <v>80</v>
      </c>
      <c r="D23" s="2" t="s">
        <v>17</v>
      </c>
      <c r="E23" s="2" t="s">
        <v>24</v>
      </c>
      <c r="F23" s="2" t="s">
        <v>62</v>
      </c>
      <c r="G23" s="4">
        <v>13</v>
      </c>
      <c r="H23" s="5">
        <v>220</v>
      </c>
      <c r="I23" s="6">
        <v>0</v>
      </c>
      <c r="J23" s="5">
        <f t="shared" si="0"/>
        <v>2860</v>
      </c>
      <c r="K23" s="5">
        <f t="shared" si="3"/>
        <v>2860</v>
      </c>
      <c r="L23" s="5">
        <v>138.80000000000001</v>
      </c>
      <c r="M23" s="5">
        <f t="shared" si="2"/>
        <v>1055.5999999999999</v>
      </c>
      <c r="N23" t="str">
        <f t="shared" si="1"/>
        <v>Meta No Alcanzada</v>
      </c>
    </row>
    <row r="24" spans="1:14" ht="15" customHeight="1" x14ac:dyDescent="0.25">
      <c r="A24" s="7" t="s">
        <v>81</v>
      </c>
      <c r="B24" s="8" t="s">
        <v>52</v>
      </c>
      <c r="C24" s="7" t="s">
        <v>22</v>
      </c>
      <c r="D24" s="7" t="s">
        <v>17</v>
      </c>
      <c r="E24" s="7" t="s">
        <v>24</v>
      </c>
      <c r="F24" s="7" t="s">
        <v>25</v>
      </c>
      <c r="G24" s="9">
        <v>8</v>
      </c>
      <c r="H24" s="10">
        <v>180</v>
      </c>
      <c r="I24" s="11">
        <v>0</v>
      </c>
      <c r="J24" s="10">
        <f t="shared" si="0"/>
        <v>1440</v>
      </c>
      <c r="K24" s="10">
        <f t="shared" si="3"/>
        <v>1440</v>
      </c>
      <c r="L24" s="10">
        <v>102.02</v>
      </c>
      <c r="M24" s="10">
        <f t="shared" si="2"/>
        <v>623.84</v>
      </c>
      <c r="N24" t="str">
        <f t="shared" si="1"/>
        <v>Meta No Alcanzada</v>
      </c>
    </row>
    <row r="25" spans="1:14" ht="15" customHeight="1" x14ac:dyDescent="0.25">
      <c r="A25" s="2" t="s">
        <v>82</v>
      </c>
      <c r="B25" s="3" t="s">
        <v>83</v>
      </c>
      <c r="C25" s="2" t="s">
        <v>44</v>
      </c>
      <c r="D25" s="2" t="s">
        <v>28</v>
      </c>
      <c r="E25" s="2" t="s">
        <v>49</v>
      </c>
      <c r="F25" s="2" t="s">
        <v>50</v>
      </c>
      <c r="G25" s="4">
        <v>15</v>
      </c>
      <c r="H25" s="5">
        <v>85</v>
      </c>
      <c r="I25" s="6">
        <v>0.1</v>
      </c>
      <c r="J25" s="5">
        <f t="shared" si="0"/>
        <v>1275</v>
      </c>
      <c r="K25" s="5">
        <f t="shared" si="3"/>
        <v>1147.5</v>
      </c>
      <c r="L25" s="5">
        <v>58.82</v>
      </c>
      <c r="M25" s="5">
        <f t="shared" si="2"/>
        <v>265.20000000000005</v>
      </c>
      <c r="N25" t="str">
        <f t="shared" si="1"/>
        <v>Meta No Alcanzada</v>
      </c>
    </row>
    <row r="26" spans="1:14" ht="15" customHeight="1" x14ac:dyDescent="0.25">
      <c r="A26" s="7" t="s">
        <v>84</v>
      </c>
      <c r="B26" s="8" t="s">
        <v>39</v>
      </c>
      <c r="C26" s="7" t="s">
        <v>22</v>
      </c>
      <c r="D26" s="7" t="s">
        <v>28</v>
      </c>
      <c r="E26" s="7" t="s">
        <v>36</v>
      </c>
      <c r="F26" s="7" t="s">
        <v>72</v>
      </c>
      <c r="G26" s="9">
        <v>3</v>
      </c>
      <c r="H26" s="10">
        <v>350</v>
      </c>
      <c r="I26" s="11">
        <v>0.15</v>
      </c>
      <c r="J26" s="10">
        <f t="shared" si="0"/>
        <v>1050</v>
      </c>
      <c r="K26" s="10">
        <f t="shared" si="3"/>
        <v>892.5</v>
      </c>
      <c r="L26" s="10">
        <v>217.45</v>
      </c>
      <c r="M26" s="10">
        <f t="shared" si="2"/>
        <v>240.15000000000009</v>
      </c>
      <c r="N26" t="str">
        <f t="shared" si="1"/>
        <v>Meta No Alcanzada</v>
      </c>
    </row>
    <row r="27" spans="1:14" ht="15" customHeight="1" x14ac:dyDescent="0.25">
      <c r="A27" s="2" t="s">
        <v>85</v>
      </c>
      <c r="B27" s="3" t="s">
        <v>79</v>
      </c>
      <c r="C27" s="2" t="s">
        <v>22</v>
      </c>
      <c r="D27" s="2" t="s">
        <v>40</v>
      </c>
      <c r="E27" s="2" t="s">
        <v>31</v>
      </c>
      <c r="F27" s="2" t="s">
        <v>56</v>
      </c>
      <c r="G27" s="4">
        <v>7</v>
      </c>
      <c r="H27" s="5">
        <v>1200</v>
      </c>
      <c r="I27" s="6">
        <v>0</v>
      </c>
      <c r="J27" s="5">
        <f t="shared" si="0"/>
        <v>8400</v>
      </c>
      <c r="K27" s="5">
        <f t="shared" si="3"/>
        <v>8400</v>
      </c>
      <c r="L27" s="5">
        <v>827.2</v>
      </c>
      <c r="M27" s="5">
        <f t="shared" si="2"/>
        <v>2609.5999999999995</v>
      </c>
      <c r="N27" t="str">
        <f t="shared" si="1"/>
        <v>Meta Cumplida</v>
      </c>
    </row>
    <row r="28" spans="1:14" ht="15" customHeight="1" x14ac:dyDescent="0.25">
      <c r="A28" s="7" t="s">
        <v>86</v>
      </c>
      <c r="B28" s="8" t="s">
        <v>87</v>
      </c>
      <c r="C28" s="7" t="s">
        <v>67</v>
      </c>
      <c r="D28" s="7" t="s">
        <v>59</v>
      </c>
      <c r="E28" s="7" t="s">
        <v>31</v>
      </c>
      <c r="F28" s="7" t="s">
        <v>56</v>
      </c>
      <c r="G28" s="9">
        <v>11</v>
      </c>
      <c r="H28" s="10">
        <v>1200</v>
      </c>
      <c r="I28" s="11">
        <v>0</v>
      </c>
      <c r="J28" s="10">
        <f t="shared" si="0"/>
        <v>13200</v>
      </c>
      <c r="K28" s="10">
        <f t="shared" si="3"/>
        <v>13200</v>
      </c>
      <c r="L28" s="10">
        <v>738.86</v>
      </c>
      <c r="M28" s="10">
        <f t="shared" si="2"/>
        <v>5072.54</v>
      </c>
      <c r="N28" t="str">
        <f t="shared" si="1"/>
        <v>Meta Cumplida</v>
      </c>
    </row>
    <row r="29" spans="1:14" ht="15" customHeight="1" x14ac:dyDescent="0.25">
      <c r="A29" s="2" t="s">
        <v>88</v>
      </c>
      <c r="B29" s="3" t="s">
        <v>39</v>
      </c>
      <c r="C29" s="2" t="s">
        <v>80</v>
      </c>
      <c r="D29" s="2" t="s">
        <v>28</v>
      </c>
      <c r="E29" s="2" t="s">
        <v>36</v>
      </c>
      <c r="F29" s="2" t="s">
        <v>72</v>
      </c>
      <c r="G29" s="4">
        <v>2</v>
      </c>
      <c r="H29" s="5">
        <v>350</v>
      </c>
      <c r="I29" s="6">
        <v>0</v>
      </c>
      <c r="J29" s="5">
        <f t="shared" si="0"/>
        <v>700</v>
      </c>
      <c r="K29" s="5">
        <f t="shared" si="3"/>
        <v>700</v>
      </c>
      <c r="L29" s="5">
        <v>193.6</v>
      </c>
      <c r="M29" s="5">
        <f t="shared" si="2"/>
        <v>312.8</v>
      </c>
      <c r="N29" t="str">
        <f t="shared" si="1"/>
        <v>Meta No Alcanzada</v>
      </c>
    </row>
    <row r="30" spans="1:14" ht="15" customHeight="1" x14ac:dyDescent="0.25">
      <c r="A30" s="7" t="s">
        <v>89</v>
      </c>
      <c r="B30" s="8" t="s">
        <v>83</v>
      </c>
      <c r="C30" s="7" t="s">
        <v>44</v>
      </c>
      <c r="D30" s="7" t="s">
        <v>48</v>
      </c>
      <c r="E30" s="7" t="s">
        <v>31</v>
      </c>
      <c r="F30" s="7" t="s">
        <v>90</v>
      </c>
      <c r="G30" s="9">
        <v>12</v>
      </c>
      <c r="H30" s="10">
        <v>850</v>
      </c>
      <c r="I30" s="11">
        <v>0.15</v>
      </c>
      <c r="J30" s="10">
        <f t="shared" si="0"/>
        <v>10200</v>
      </c>
      <c r="K30" s="10">
        <f t="shared" si="3"/>
        <v>8670</v>
      </c>
      <c r="L30" s="10">
        <v>475.01</v>
      </c>
      <c r="M30" s="10">
        <f t="shared" si="2"/>
        <v>2969.88</v>
      </c>
      <c r="N30" t="str">
        <f t="shared" si="1"/>
        <v>Meta Cumplida</v>
      </c>
    </row>
    <row r="31" spans="1:14" ht="15" customHeight="1" x14ac:dyDescent="0.25">
      <c r="A31" s="2" t="s">
        <v>91</v>
      </c>
      <c r="B31" s="3" t="s">
        <v>92</v>
      </c>
      <c r="C31" s="2" t="s">
        <v>22</v>
      </c>
      <c r="D31" s="2" t="s">
        <v>28</v>
      </c>
      <c r="E31" s="2" t="s">
        <v>49</v>
      </c>
      <c r="F31" s="2" t="s">
        <v>93</v>
      </c>
      <c r="G31" s="4">
        <v>5</v>
      </c>
      <c r="H31" s="5">
        <v>120</v>
      </c>
      <c r="I31" s="6">
        <v>0.15</v>
      </c>
      <c r="J31" s="5">
        <f t="shared" si="0"/>
        <v>600</v>
      </c>
      <c r="K31" s="5">
        <f t="shared" si="3"/>
        <v>510</v>
      </c>
      <c r="L31" s="5">
        <v>74.739999999999995</v>
      </c>
      <c r="M31" s="5">
        <f t="shared" si="2"/>
        <v>136.30000000000001</v>
      </c>
      <c r="N31" t="str">
        <f t="shared" si="1"/>
        <v>Meta No Alcanzada</v>
      </c>
    </row>
    <row r="32" spans="1:14" ht="15" customHeight="1" x14ac:dyDescent="0.25">
      <c r="A32" s="7" t="s">
        <v>94</v>
      </c>
      <c r="B32" s="8" t="s">
        <v>95</v>
      </c>
      <c r="C32" s="7" t="s">
        <v>80</v>
      </c>
      <c r="D32" s="7" t="s">
        <v>23</v>
      </c>
      <c r="E32" s="7" t="s">
        <v>31</v>
      </c>
      <c r="F32" s="7" t="s">
        <v>32</v>
      </c>
      <c r="G32" s="9">
        <v>13</v>
      </c>
      <c r="H32" s="10">
        <v>480</v>
      </c>
      <c r="I32" s="11">
        <v>0.05</v>
      </c>
      <c r="J32" s="10">
        <f t="shared" si="0"/>
        <v>6240</v>
      </c>
      <c r="K32" s="10">
        <f t="shared" si="3"/>
        <v>5928</v>
      </c>
      <c r="L32" s="10">
        <v>277.70999999999998</v>
      </c>
      <c r="M32" s="10">
        <f t="shared" si="2"/>
        <v>2317.7700000000004</v>
      </c>
      <c r="N32" t="str">
        <f t="shared" si="1"/>
        <v>Meta Cumplida</v>
      </c>
    </row>
    <row r="33" spans="1:14" ht="15" customHeight="1" x14ac:dyDescent="0.25">
      <c r="A33" s="2" t="s">
        <v>96</v>
      </c>
      <c r="B33" s="3" t="s">
        <v>97</v>
      </c>
      <c r="C33" s="2" t="s">
        <v>67</v>
      </c>
      <c r="D33" s="2" t="s">
        <v>23</v>
      </c>
      <c r="E33" s="2" t="s">
        <v>36</v>
      </c>
      <c r="F33" s="2" t="s">
        <v>37</v>
      </c>
      <c r="G33" s="4">
        <v>8</v>
      </c>
      <c r="H33" s="5">
        <v>1800</v>
      </c>
      <c r="I33" s="6">
        <v>0.15</v>
      </c>
      <c r="J33" s="5">
        <f t="shared" si="0"/>
        <v>14400</v>
      </c>
      <c r="K33" s="5">
        <f t="shared" si="3"/>
        <v>12240</v>
      </c>
      <c r="L33" s="5">
        <v>1004.63</v>
      </c>
      <c r="M33" s="5">
        <f t="shared" si="2"/>
        <v>4202.96</v>
      </c>
      <c r="N33" t="str">
        <f t="shared" si="1"/>
        <v>Meta Cumplida</v>
      </c>
    </row>
    <row r="34" spans="1:14" ht="15" customHeight="1" x14ac:dyDescent="0.25">
      <c r="A34" s="7" t="s">
        <v>98</v>
      </c>
      <c r="B34" s="8" t="s">
        <v>99</v>
      </c>
      <c r="C34" s="7" t="s">
        <v>67</v>
      </c>
      <c r="D34" s="7" t="s">
        <v>59</v>
      </c>
      <c r="E34" s="7" t="s">
        <v>18</v>
      </c>
      <c r="F34" s="7" t="s">
        <v>19</v>
      </c>
      <c r="G34" s="9">
        <v>6</v>
      </c>
      <c r="H34" s="10">
        <v>2500</v>
      </c>
      <c r="I34" s="11">
        <v>0</v>
      </c>
      <c r="J34" s="10">
        <f t="shared" si="0"/>
        <v>15000</v>
      </c>
      <c r="K34" s="10">
        <f t="shared" si="3"/>
        <v>15000</v>
      </c>
      <c r="L34" s="10">
        <v>1468.25</v>
      </c>
      <c r="M34" s="10">
        <f t="shared" si="2"/>
        <v>6190.5</v>
      </c>
      <c r="N34" t="str">
        <f t="shared" si="1"/>
        <v>Meta Cumplida</v>
      </c>
    </row>
    <row r="35" spans="1:14" ht="15" customHeight="1" x14ac:dyDescent="0.25">
      <c r="A35" s="2" t="s">
        <v>100</v>
      </c>
      <c r="B35" s="3" t="s">
        <v>101</v>
      </c>
      <c r="C35" s="2" t="s">
        <v>80</v>
      </c>
      <c r="D35" s="2" t="s">
        <v>23</v>
      </c>
      <c r="E35" s="2" t="s">
        <v>24</v>
      </c>
      <c r="F35" s="2" t="s">
        <v>102</v>
      </c>
      <c r="G35" s="4">
        <v>3</v>
      </c>
      <c r="H35" s="5">
        <v>320</v>
      </c>
      <c r="I35" s="6">
        <v>0</v>
      </c>
      <c r="J35" s="5">
        <f t="shared" si="0"/>
        <v>960</v>
      </c>
      <c r="K35" s="5">
        <f t="shared" si="3"/>
        <v>960</v>
      </c>
      <c r="L35" s="5">
        <v>198.21</v>
      </c>
      <c r="M35" s="5">
        <f t="shared" si="2"/>
        <v>365.37</v>
      </c>
      <c r="N35" t="str">
        <f t="shared" si="1"/>
        <v>Meta No Alcanzada</v>
      </c>
    </row>
    <row r="36" spans="1:14" ht="15" customHeight="1" x14ac:dyDescent="0.25">
      <c r="A36" s="7" t="s">
        <v>103</v>
      </c>
      <c r="B36" s="8" t="s">
        <v>104</v>
      </c>
      <c r="C36" s="7" t="s">
        <v>22</v>
      </c>
      <c r="D36" s="7" t="s">
        <v>48</v>
      </c>
      <c r="E36" s="7" t="s">
        <v>18</v>
      </c>
      <c r="F36" s="7" t="s">
        <v>45</v>
      </c>
      <c r="G36" s="9">
        <v>1</v>
      </c>
      <c r="H36" s="10">
        <v>2100</v>
      </c>
      <c r="I36" s="11">
        <v>0.15</v>
      </c>
      <c r="J36" s="10">
        <f t="shared" si="0"/>
        <v>2100</v>
      </c>
      <c r="K36" s="10">
        <f t="shared" si="3"/>
        <v>1785</v>
      </c>
      <c r="L36" s="10">
        <v>1469.77</v>
      </c>
      <c r="M36" s="10">
        <f t="shared" si="2"/>
        <v>315.23</v>
      </c>
      <c r="N36" t="str">
        <f t="shared" si="1"/>
        <v>Meta No Alcanzada</v>
      </c>
    </row>
    <row r="37" spans="1:14" ht="15" customHeight="1" x14ac:dyDescent="0.25">
      <c r="A37" s="2" t="s">
        <v>105</v>
      </c>
      <c r="B37" s="3" t="s">
        <v>101</v>
      </c>
      <c r="C37" s="2" t="s">
        <v>80</v>
      </c>
      <c r="D37" s="2" t="s">
        <v>28</v>
      </c>
      <c r="E37" s="2" t="s">
        <v>18</v>
      </c>
      <c r="F37" s="2" t="s">
        <v>19</v>
      </c>
      <c r="G37" s="4">
        <v>7</v>
      </c>
      <c r="H37" s="5">
        <v>2500</v>
      </c>
      <c r="I37" s="6">
        <v>0.05</v>
      </c>
      <c r="J37" s="5">
        <f t="shared" si="0"/>
        <v>17500</v>
      </c>
      <c r="K37" s="5">
        <f t="shared" si="3"/>
        <v>16625</v>
      </c>
      <c r="L37" s="5">
        <v>1555.51</v>
      </c>
      <c r="M37" s="5">
        <f t="shared" si="2"/>
        <v>5736.43</v>
      </c>
      <c r="N37" t="str">
        <f t="shared" si="1"/>
        <v>Meta Cumplida</v>
      </c>
    </row>
    <row r="38" spans="1:14" ht="15" customHeight="1" x14ac:dyDescent="0.25">
      <c r="A38" s="7" t="s">
        <v>106</v>
      </c>
      <c r="B38" s="8" t="s">
        <v>107</v>
      </c>
      <c r="C38" s="7" t="s">
        <v>80</v>
      </c>
      <c r="D38" s="7" t="s">
        <v>23</v>
      </c>
      <c r="E38" s="7" t="s">
        <v>36</v>
      </c>
      <c r="F38" s="7" t="s">
        <v>72</v>
      </c>
      <c r="G38" s="9">
        <v>1</v>
      </c>
      <c r="H38" s="10">
        <v>350</v>
      </c>
      <c r="I38" s="11">
        <v>0.05</v>
      </c>
      <c r="J38" s="10">
        <f t="shared" si="0"/>
        <v>350</v>
      </c>
      <c r="K38" s="10">
        <f t="shared" si="3"/>
        <v>332.5</v>
      </c>
      <c r="L38" s="10">
        <v>206.42</v>
      </c>
      <c r="M38" s="10">
        <f t="shared" si="2"/>
        <v>126.08000000000001</v>
      </c>
      <c r="N38" t="str">
        <f t="shared" si="1"/>
        <v>Meta No Alcanzada</v>
      </c>
    </row>
    <row r="39" spans="1:14" ht="15" customHeight="1" x14ac:dyDescent="0.25">
      <c r="A39" s="2" t="s">
        <v>108</v>
      </c>
      <c r="B39" s="3" t="s">
        <v>109</v>
      </c>
      <c r="C39" s="2" t="s">
        <v>67</v>
      </c>
      <c r="D39" s="2" t="s">
        <v>59</v>
      </c>
      <c r="E39" s="2" t="s">
        <v>36</v>
      </c>
      <c r="F39" s="2" t="s">
        <v>37</v>
      </c>
      <c r="G39" s="4">
        <v>12</v>
      </c>
      <c r="H39" s="5">
        <v>1800</v>
      </c>
      <c r="I39" s="6">
        <v>0.1</v>
      </c>
      <c r="J39" s="5">
        <f t="shared" si="0"/>
        <v>21600</v>
      </c>
      <c r="K39" s="5">
        <f t="shared" si="3"/>
        <v>19440</v>
      </c>
      <c r="L39" s="5">
        <v>1168.71</v>
      </c>
      <c r="M39" s="5">
        <f t="shared" si="2"/>
        <v>5415.48</v>
      </c>
      <c r="N39" t="str">
        <f t="shared" si="1"/>
        <v>Meta Cumplida</v>
      </c>
    </row>
    <row r="40" spans="1:14" ht="15" customHeight="1" x14ac:dyDescent="0.25">
      <c r="A40" s="7" t="s">
        <v>110</v>
      </c>
      <c r="B40" s="8" t="s">
        <v>111</v>
      </c>
      <c r="C40" s="7" t="s">
        <v>35</v>
      </c>
      <c r="D40" s="7" t="s">
        <v>28</v>
      </c>
      <c r="E40" s="7" t="s">
        <v>31</v>
      </c>
      <c r="F40" s="7" t="s">
        <v>90</v>
      </c>
      <c r="G40" s="9">
        <v>1</v>
      </c>
      <c r="H40" s="10">
        <v>850</v>
      </c>
      <c r="I40" s="11">
        <v>0.1</v>
      </c>
      <c r="J40" s="10">
        <f t="shared" si="0"/>
        <v>850</v>
      </c>
      <c r="K40" s="10">
        <f t="shared" si="3"/>
        <v>765</v>
      </c>
      <c r="L40" s="10">
        <v>561.30999999999995</v>
      </c>
      <c r="M40" s="10">
        <f t="shared" si="2"/>
        <v>203.69000000000005</v>
      </c>
      <c r="N40" t="str">
        <f t="shared" si="1"/>
        <v>Meta No Alcanzada</v>
      </c>
    </row>
    <row r="41" spans="1:14" ht="15" customHeight="1" x14ac:dyDescent="0.25">
      <c r="A41" s="2" t="s">
        <v>112</v>
      </c>
      <c r="B41" s="3" t="s">
        <v>113</v>
      </c>
      <c r="C41" s="2" t="s">
        <v>44</v>
      </c>
      <c r="D41" s="2" t="s">
        <v>40</v>
      </c>
      <c r="E41" s="2" t="s">
        <v>49</v>
      </c>
      <c r="F41" s="2" t="s">
        <v>93</v>
      </c>
      <c r="G41" s="4">
        <v>8</v>
      </c>
      <c r="H41" s="5">
        <v>120</v>
      </c>
      <c r="I41" s="6">
        <v>0.1</v>
      </c>
      <c r="J41" s="5">
        <f t="shared" si="0"/>
        <v>960</v>
      </c>
      <c r="K41" s="5">
        <f t="shared" si="3"/>
        <v>864</v>
      </c>
      <c r="L41" s="5">
        <v>82.55</v>
      </c>
      <c r="M41" s="5">
        <f t="shared" si="2"/>
        <v>203.60000000000002</v>
      </c>
      <c r="N41" t="str">
        <f t="shared" si="1"/>
        <v>Meta No Alcanzada</v>
      </c>
    </row>
    <row r="42" spans="1:14" ht="15" customHeight="1" x14ac:dyDescent="0.25">
      <c r="A42" s="7" t="s">
        <v>114</v>
      </c>
      <c r="B42" s="8" t="s">
        <v>115</v>
      </c>
      <c r="C42" s="7" t="s">
        <v>22</v>
      </c>
      <c r="D42" s="7" t="s">
        <v>48</v>
      </c>
      <c r="E42" s="7" t="s">
        <v>31</v>
      </c>
      <c r="F42" s="7" t="s">
        <v>116</v>
      </c>
      <c r="G42" s="9">
        <v>14</v>
      </c>
      <c r="H42" s="10">
        <v>650</v>
      </c>
      <c r="I42" s="11">
        <v>0</v>
      </c>
      <c r="J42" s="10">
        <f t="shared" si="0"/>
        <v>9100</v>
      </c>
      <c r="K42" s="10">
        <f t="shared" si="3"/>
        <v>9100</v>
      </c>
      <c r="L42" s="10">
        <v>364.18</v>
      </c>
      <c r="M42" s="10">
        <f t="shared" si="2"/>
        <v>4001.4799999999996</v>
      </c>
      <c r="N42" t="str">
        <f t="shared" si="1"/>
        <v>Meta Cumplida</v>
      </c>
    </row>
    <row r="43" spans="1:14" ht="15" customHeight="1" x14ac:dyDescent="0.25">
      <c r="A43" s="2" t="s">
        <v>117</v>
      </c>
      <c r="B43" s="3" t="s">
        <v>118</v>
      </c>
      <c r="C43" s="2" t="s">
        <v>44</v>
      </c>
      <c r="D43" s="2" t="s">
        <v>40</v>
      </c>
      <c r="E43" s="2" t="s">
        <v>31</v>
      </c>
      <c r="F43" s="2" t="s">
        <v>32</v>
      </c>
      <c r="G43" s="4">
        <v>4</v>
      </c>
      <c r="H43" s="5">
        <v>480</v>
      </c>
      <c r="I43" s="6">
        <v>0.1</v>
      </c>
      <c r="J43" s="5">
        <f t="shared" si="0"/>
        <v>1920</v>
      </c>
      <c r="K43" s="5">
        <f t="shared" si="3"/>
        <v>1728</v>
      </c>
      <c r="L43" s="5">
        <v>306.81</v>
      </c>
      <c r="M43" s="5">
        <f t="shared" si="2"/>
        <v>500.76</v>
      </c>
      <c r="N43" t="str">
        <f t="shared" si="1"/>
        <v>Meta No Alcanzada</v>
      </c>
    </row>
    <row r="44" spans="1:14" ht="15" customHeight="1" x14ac:dyDescent="0.25">
      <c r="A44" s="7" t="s">
        <v>119</v>
      </c>
      <c r="B44" s="8" t="s">
        <v>120</v>
      </c>
      <c r="C44" s="7" t="s">
        <v>16</v>
      </c>
      <c r="D44" s="7" t="s">
        <v>40</v>
      </c>
      <c r="E44" s="7" t="s">
        <v>18</v>
      </c>
      <c r="F44" s="7" t="s">
        <v>45</v>
      </c>
      <c r="G44" s="9">
        <v>10</v>
      </c>
      <c r="H44" s="10">
        <v>2100</v>
      </c>
      <c r="I44" s="11">
        <v>0.1</v>
      </c>
      <c r="J44" s="10">
        <f t="shared" si="0"/>
        <v>21000</v>
      </c>
      <c r="K44" s="10">
        <f t="shared" si="3"/>
        <v>18900</v>
      </c>
      <c r="L44" s="10">
        <v>1254.6600000000001</v>
      </c>
      <c r="M44" s="10">
        <f t="shared" si="2"/>
        <v>6353.4</v>
      </c>
      <c r="N44" t="str">
        <f t="shared" si="1"/>
        <v>Meta Cumplida</v>
      </c>
    </row>
    <row r="45" spans="1:14" ht="15" customHeight="1" x14ac:dyDescent="0.25">
      <c r="A45" s="2" t="s">
        <v>121</v>
      </c>
      <c r="B45" s="3" t="s">
        <v>122</v>
      </c>
      <c r="C45" s="2" t="s">
        <v>80</v>
      </c>
      <c r="D45" s="2" t="s">
        <v>17</v>
      </c>
      <c r="E45" s="2" t="s">
        <v>31</v>
      </c>
      <c r="F45" s="2" t="s">
        <v>56</v>
      </c>
      <c r="G45" s="4">
        <v>7</v>
      </c>
      <c r="H45" s="5">
        <v>1200</v>
      </c>
      <c r="I45" s="6">
        <v>0</v>
      </c>
      <c r="J45" s="5">
        <f t="shared" si="0"/>
        <v>8400</v>
      </c>
      <c r="K45" s="5">
        <f t="shared" si="3"/>
        <v>8400</v>
      </c>
      <c r="L45" s="5">
        <v>780.9</v>
      </c>
      <c r="M45" s="5">
        <f t="shared" si="2"/>
        <v>2933.7</v>
      </c>
      <c r="N45" t="str">
        <f t="shared" si="1"/>
        <v>Meta Cumplida</v>
      </c>
    </row>
    <row r="46" spans="1:14" ht="15" customHeight="1" x14ac:dyDescent="0.25">
      <c r="A46" s="7" t="s">
        <v>123</v>
      </c>
      <c r="B46" s="8" t="s">
        <v>95</v>
      </c>
      <c r="C46" s="7" t="s">
        <v>44</v>
      </c>
      <c r="D46" s="7" t="s">
        <v>48</v>
      </c>
      <c r="E46" s="7" t="s">
        <v>36</v>
      </c>
      <c r="F46" s="7" t="s">
        <v>37</v>
      </c>
      <c r="G46" s="9">
        <v>8</v>
      </c>
      <c r="H46" s="10">
        <v>1800</v>
      </c>
      <c r="I46" s="11">
        <v>0.1</v>
      </c>
      <c r="J46" s="10">
        <f t="shared" si="0"/>
        <v>14400</v>
      </c>
      <c r="K46" s="10">
        <f t="shared" si="3"/>
        <v>12960</v>
      </c>
      <c r="L46" s="10">
        <v>1259.58</v>
      </c>
      <c r="M46" s="10">
        <f t="shared" si="2"/>
        <v>2883.3600000000006</v>
      </c>
      <c r="N46" t="str">
        <f t="shared" si="1"/>
        <v>Meta Cumplida</v>
      </c>
    </row>
    <row r="47" spans="1:14" ht="15" customHeight="1" x14ac:dyDescent="0.25">
      <c r="A47" s="2" t="s">
        <v>124</v>
      </c>
      <c r="B47" s="3" t="s">
        <v>125</v>
      </c>
      <c r="C47" s="2" t="s">
        <v>22</v>
      </c>
      <c r="D47" s="2" t="s">
        <v>17</v>
      </c>
      <c r="E47" s="2" t="s">
        <v>18</v>
      </c>
      <c r="F47" s="2" t="s">
        <v>53</v>
      </c>
      <c r="G47" s="4">
        <v>3</v>
      </c>
      <c r="H47" s="5">
        <v>2200</v>
      </c>
      <c r="I47" s="6">
        <v>0</v>
      </c>
      <c r="J47" s="5">
        <f t="shared" si="0"/>
        <v>6600</v>
      </c>
      <c r="K47" s="5">
        <f t="shared" si="3"/>
        <v>6600</v>
      </c>
      <c r="L47" s="5">
        <v>1500.69</v>
      </c>
      <c r="M47" s="5">
        <f t="shared" si="2"/>
        <v>2097.9300000000003</v>
      </c>
      <c r="N47" t="str">
        <f t="shared" si="1"/>
        <v>Meta Cumplida</v>
      </c>
    </row>
    <row r="48" spans="1:14" ht="15" customHeight="1" x14ac:dyDescent="0.25">
      <c r="A48" s="7" t="s">
        <v>126</v>
      </c>
      <c r="B48" s="8" t="s">
        <v>118</v>
      </c>
      <c r="C48" s="7" t="s">
        <v>80</v>
      </c>
      <c r="D48" s="7" t="s">
        <v>23</v>
      </c>
      <c r="E48" s="7" t="s">
        <v>49</v>
      </c>
      <c r="F48" s="7" t="s">
        <v>127</v>
      </c>
      <c r="G48" s="9">
        <v>14</v>
      </c>
      <c r="H48" s="10">
        <v>180</v>
      </c>
      <c r="I48" s="11">
        <v>0.1</v>
      </c>
      <c r="J48" s="10">
        <f t="shared" si="0"/>
        <v>2520</v>
      </c>
      <c r="K48" s="10">
        <f t="shared" si="3"/>
        <v>2268</v>
      </c>
      <c r="L48" s="10">
        <v>118</v>
      </c>
      <c r="M48" s="10">
        <f t="shared" si="2"/>
        <v>616</v>
      </c>
      <c r="N48" t="str">
        <f t="shared" si="1"/>
        <v>Meta No Alcanzada</v>
      </c>
    </row>
    <row r="49" spans="1:14" ht="15" customHeight="1" x14ac:dyDescent="0.25">
      <c r="A49" s="2" t="s">
        <v>128</v>
      </c>
      <c r="B49" s="3" t="s">
        <v>129</v>
      </c>
      <c r="C49" s="2" t="s">
        <v>16</v>
      </c>
      <c r="D49" s="2" t="s">
        <v>40</v>
      </c>
      <c r="E49" s="2" t="s">
        <v>24</v>
      </c>
      <c r="F49" s="2" t="s">
        <v>25</v>
      </c>
      <c r="G49" s="4">
        <v>5</v>
      </c>
      <c r="H49" s="5">
        <v>180</v>
      </c>
      <c r="I49" s="6">
        <v>0.15</v>
      </c>
      <c r="J49" s="5">
        <f t="shared" si="0"/>
        <v>900</v>
      </c>
      <c r="K49" s="5">
        <f t="shared" si="3"/>
        <v>765</v>
      </c>
      <c r="L49" s="5">
        <v>101.8</v>
      </c>
      <c r="M49" s="5">
        <f t="shared" si="2"/>
        <v>256</v>
      </c>
      <c r="N49" t="str">
        <f t="shared" si="1"/>
        <v>Meta No Alcanzada</v>
      </c>
    </row>
    <row r="50" spans="1:14" ht="15" customHeight="1" x14ac:dyDescent="0.25">
      <c r="A50" s="7" t="s">
        <v>130</v>
      </c>
      <c r="B50" s="8" t="s">
        <v>131</v>
      </c>
      <c r="C50" s="7" t="s">
        <v>44</v>
      </c>
      <c r="D50" s="7" t="s">
        <v>59</v>
      </c>
      <c r="E50" s="7" t="s">
        <v>49</v>
      </c>
      <c r="F50" s="7" t="s">
        <v>93</v>
      </c>
      <c r="G50" s="9">
        <v>9</v>
      </c>
      <c r="H50" s="10">
        <v>120</v>
      </c>
      <c r="I50" s="11">
        <v>0</v>
      </c>
      <c r="J50" s="10">
        <f t="shared" si="0"/>
        <v>1080</v>
      </c>
      <c r="K50" s="10">
        <f t="shared" si="3"/>
        <v>1080</v>
      </c>
      <c r="L50" s="10">
        <v>70.900000000000006</v>
      </c>
      <c r="M50" s="10">
        <f t="shared" si="2"/>
        <v>441.9</v>
      </c>
      <c r="N50" t="str">
        <f t="shared" si="1"/>
        <v>Meta No Alcanzada</v>
      </c>
    </row>
    <row r="51" spans="1:14" ht="15" customHeight="1" x14ac:dyDescent="0.25">
      <c r="A51" s="2" t="s">
        <v>132</v>
      </c>
      <c r="B51" s="3" t="s">
        <v>133</v>
      </c>
      <c r="C51" s="2" t="s">
        <v>80</v>
      </c>
      <c r="D51" s="2" t="s">
        <v>59</v>
      </c>
      <c r="E51" s="2" t="s">
        <v>31</v>
      </c>
      <c r="F51" s="2" t="s">
        <v>56</v>
      </c>
      <c r="G51" s="4">
        <v>11</v>
      </c>
      <c r="H51" s="5">
        <v>1200</v>
      </c>
      <c r="I51" s="6">
        <v>0</v>
      </c>
      <c r="J51" s="5">
        <f t="shared" si="0"/>
        <v>13200</v>
      </c>
      <c r="K51" s="5">
        <f t="shared" si="3"/>
        <v>13200</v>
      </c>
      <c r="L51" s="5">
        <v>750.97</v>
      </c>
      <c r="M51" s="5">
        <f t="shared" si="2"/>
        <v>4939.33</v>
      </c>
      <c r="N51" t="str">
        <f t="shared" si="1"/>
        <v>Meta Cumplida</v>
      </c>
    </row>
    <row r="52" spans="1:14" ht="15" customHeight="1" x14ac:dyDescent="0.25">
      <c r="A52" s="7" t="s">
        <v>134</v>
      </c>
      <c r="B52" s="8" t="s">
        <v>135</v>
      </c>
      <c r="C52" s="7" t="s">
        <v>16</v>
      </c>
      <c r="D52" s="7" t="s">
        <v>23</v>
      </c>
      <c r="E52" s="7" t="s">
        <v>18</v>
      </c>
      <c r="F52" s="7" t="s">
        <v>19</v>
      </c>
      <c r="G52" s="9">
        <v>14</v>
      </c>
      <c r="H52" s="10">
        <v>2500</v>
      </c>
      <c r="I52" s="11">
        <v>0</v>
      </c>
      <c r="J52" s="10">
        <f t="shared" si="0"/>
        <v>35000</v>
      </c>
      <c r="K52" s="10">
        <f t="shared" si="3"/>
        <v>35000</v>
      </c>
      <c r="L52" s="10">
        <v>1391.53</v>
      </c>
      <c r="M52" s="10">
        <f t="shared" si="2"/>
        <v>15518.580000000002</v>
      </c>
      <c r="N52" t="str">
        <f t="shared" si="1"/>
        <v>Meta Cumplida</v>
      </c>
    </row>
    <row r="53" spans="1:14" ht="15" customHeight="1" x14ac:dyDescent="0.25">
      <c r="A53" s="2" t="s">
        <v>136</v>
      </c>
      <c r="B53" s="3" t="s">
        <v>137</v>
      </c>
      <c r="C53" s="2" t="s">
        <v>80</v>
      </c>
      <c r="D53" s="2" t="s">
        <v>59</v>
      </c>
      <c r="E53" s="2" t="s">
        <v>31</v>
      </c>
      <c r="F53" s="2" t="s">
        <v>56</v>
      </c>
      <c r="G53" s="4">
        <v>8</v>
      </c>
      <c r="H53" s="5">
        <v>1200</v>
      </c>
      <c r="I53" s="6">
        <v>0.1</v>
      </c>
      <c r="J53" s="5">
        <f t="shared" si="0"/>
        <v>9600</v>
      </c>
      <c r="K53" s="5">
        <f t="shared" si="3"/>
        <v>8640</v>
      </c>
      <c r="L53" s="5">
        <v>787.02</v>
      </c>
      <c r="M53" s="5">
        <f t="shared" si="2"/>
        <v>2343.84</v>
      </c>
      <c r="N53" t="str">
        <f t="shared" si="1"/>
        <v>Meta Cumplida</v>
      </c>
    </row>
    <row r="54" spans="1:14" ht="15" customHeight="1" x14ac:dyDescent="0.25">
      <c r="A54" s="7" t="s">
        <v>138</v>
      </c>
      <c r="B54" s="8" t="s">
        <v>139</v>
      </c>
      <c r="C54" s="7" t="s">
        <v>44</v>
      </c>
      <c r="D54" s="7" t="s">
        <v>59</v>
      </c>
      <c r="E54" s="7" t="s">
        <v>18</v>
      </c>
      <c r="F54" s="7" t="s">
        <v>19</v>
      </c>
      <c r="G54" s="9">
        <v>15</v>
      </c>
      <c r="H54" s="10">
        <v>2500</v>
      </c>
      <c r="I54" s="11">
        <v>0</v>
      </c>
      <c r="J54" s="10">
        <f t="shared" si="0"/>
        <v>37500</v>
      </c>
      <c r="K54" s="10">
        <f t="shared" si="3"/>
        <v>37500</v>
      </c>
      <c r="L54" s="10">
        <v>1579.6</v>
      </c>
      <c r="M54" s="10">
        <f t="shared" si="2"/>
        <v>13806</v>
      </c>
      <c r="N54" t="str">
        <f t="shared" si="1"/>
        <v>Meta Cumplida</v>
      </c>
    </row>
    <row r="55" spans="1:14" ht="15" customHeight="1" x14ac:dyDescent="0.25">
      <c r="A55" s="2" t="s">
        <v>140</v>
      </c>
      <c r="B55" s="3" t="s">
        <v>141</v>
      </c>
      <c r="C55" s="2" t="s">
        <v>67</v>
      </c>
      <c r="D55" s="2" t="s">
        <v>28</v>
      </c>
      <c r="E55" s="2" t="s">
        <v>49</v>
      </c>
      <c r="F55" s="2" t="s">
        <v>50</v>
      </c>
      <c r="G55" s="4">
        <v>1</v>
      </c>
      <c r="H55" s="5">
        <v>85</v>
      </c>
      <c r="I55" s="6">
        <v>0</v>
      </c>
      <c r="J55" s="5">
        <f t="shared" si="0"/>
        <v>85</v>
      </c>
      <c r="K55" s="5">
        <f t="shared" si="3"/>
        <v>85</v>
      </c>
      <c r="L55" s="5">
        <v>51.4</v>
      </c>
      <c r="M55" s="5">
        <f t="shared" si="2"/>
        <v>33.6</v>
      </c>
      <c r="N55" t="str">
        <f t="shared" si="1"/>
        <v>Meta No Alcanzada</v>
      </c>
    </row>
    <row r="56" spans="1:14" ht="15" customHeight="1" x14ac:dyDescent="0.25">
      <c r="A56" s="7" t="s">
        <v>142</v>
      </c>
      <c r="B56" s="8" t="s">
        <v>143</v>
      </c>
      <c r="C56" s="7" t="s">
        <v>80</v>
      </c>
      <c r="D56" s="7" t="s">
        <v>59</v>
      </c>
      <c r="E56" s="7" t="s">
        <v>18</v>
      </c>
      <c r="F56" s="7" t="s">
        <v>41</v>
      </c>
      <c r="G56" s="9">
        <v>4</v>
      </c>
      <c r="H56" s="10">
        <v>2800</v>
      </c>
      <c r="I56" s="11">
        <v>0.15</v>
      </c>
      <c r="J56" s="10">
        <f t="shared" si="0"/>
        <v>11200</v>
      </c>
      <c r="K56" s="10">
        <f t="shared" si="3"/>
        <v>9520</v>
      </c>
      <c r="L56" s="10">
        <v>1583.17</v>
      </c>
      <c r="M56" s="10">
        <f t="shared" si="2"/>
        <v>3187.3199999999997</v>
      </c>
      <c r="N56" t="str">
        <f t="shared" si="1"/>
        <v>Meta Cumplida</v>
      </c>
    </row>
    <row r="57" spans="1:14" ht="15" customHeight="1" x14ac:dyDescent="0.25">
      <c r="A57" s="2" t="s">
        <v>144</v>
      </c>
      <c r="B57" s="3" t="s">
        <v>141</v>
      </c>
      <c r="C57" s="2" t="s">
        <v>22</v>
      </c>
      <c r="D57" s="2" t="s">
        <v>59</v>
      </c>
      <c r="E57" s="2" t="s">
        <v>24</v>
      </c>
      <c r="F57" s="2" t="s">
        <v>102</v>
      </c>
      <c r="G57" s="4">
        <v>3</v>
      </c>
      <c r="H57" s="5">
        <v>320</v>
      </c>
      <c r="I57" s="6">
        <v>0</v>
      </c>
      <c r="J57" s="5">
        <f t="shared" si="0"/>
        <v>960</v>
      </c>
      <c r="K57" s="5">
        <f t="shared" si="3"/>
        <v>960</v>
      </c>
      <c r="L57" s="5">
        <v>217.5</v>
      </c>
      <c r="M57" s="5">
        <f t="shared" si="2"/>
        <v>307.5</v>
      </c>
      <c r="N57" t="str">
        <f t="shared" si="1"/>
        <v>Meta No Alcanzada</v>
      </c>
    </row>
    <row r="58" spans="1:14" ht="15" customHeight="1" x14ac:dyDescent="0.25">
      <c r="A58" s="7" t="s">
        <v>145</v>
      </c>
      <c r="B58" s="8" t="s">
        <v>146</v>
      </c>
      <c r="C58" s="7" t="s">
        <v>44</v>
      </c>
      <c r="D58" s="7" t="s">
        <v>28</v>
      </c>
      <c r="E58" s="7" t="s">
        <v>31</v>
      </c>
      <c r="F58" s="7" t="s">
        <v>32</v>
      </c>
      <c r="G58" s="9">
        <v>12</v>
      </c>
      <c r="H58" s="10">
        <v>480</v>
      </c>
      <c r="I58" s="11">
        <v>0</v>
      </c>
      <c r="J58" s="10">
        <f t="shared" si="0"/>
        <v>5760</v>
      </c>
      <c r="K58" s="10">
        <f t="shared" si="3"/>
        <v>5760</v>
      </c>
      <c r="L58" s="10">
        <v>320.33</v>
      </c>
      <c r="M58" s="10">
        <f t="shared" si="2"/>
        <v>1916.04</v>
      </c>
      <c r="N58" t="str">
        <f t="shared" si="1"/>
        <v>Meta Cumplida</v>
      </c>
    </row>
    <row r="59" spans="1:14" ht="15" customHeight="1" x14ac:dyDescent="0.25">
      <c r="A59" s="2" t="s">
        <v>147</v>
      </c>
      <c r="B59" s="3" t="s">
        <v>148</v>
      </c>
      <c r="C59" s="2" t="s">
        <v>80</v>
      </c>
      <c r="D59" s="2" t="s">
        <v>59</v>
      </c>
      <c r="E59" s="2" t="s">
        <v>31</v>
      </c>
      <c r="F59" s="2" t="s">
        <v>56</v>
      </c>
      <c r="G59" s="4">
        <v>2</v>
      </c>
      <c r="H59" s="5">
        <v>1200</v>
      </c>
      <c r="I59" s="6">
        <v>0.05</v>
      </c>
      <c r="J59" s="5">
        <f t="shared" si="0"/>
        <v>2400</v>
      </c>
      <c r="K59" s="5">
        <f t="shared" si="3"/>
        <v>2280</v>
      </c>
      <c r="L59" s="5">
        <v>816.99</v>
      </c>
      <c r="M59" s="5">
        <f t="shared" si="2"/>
        <v>646.02</v>
      </c>
      <c r="N59" t="str">
        <f t="shared" si="1"/>
        <v>Meta No Alcanzada</v>
      </c>
    </row>
    <row r="60" spans="1:14" ht="15" customHeight="1" x14ac:dyDescent="0.25">
      <c r="A60" s="7" t="s">
        <v>149</v>
      </c>
      <c r="B60" s="8" t="s">
        <v>148</v>
      </c>
      <c r="C60" s="7" t="s">
        <v>80</v>
      </c>
      <c r="D60" s="7" t="s">
        <v>23</v>
      </c>
      <c r="E60" s="7" t="s">
        <v>36</v>
      </c>
      <c r="F60" s="7" t="s">
        <v>150</v>
      </c>
      <c r="G60" s="9">
        <v>6</v>
      </c>
      <c r="H60" s="10">
        <v>90</v>
      </c>
      <c r="I60" s="11">
        <v>0</v>
      </c>
      <c r="J60" s="10">
        <f t="shared" si="0"/>
        <v>540</v>
      </c>
      <c r="K60" s="10">
        <f t="shared" si="3"/>
        <v>540</v>
      </c>
      <c r="L60" s="10">
        <v>60.58</v>
      </c>
      <c r="M60" s="10">
        <f t="shared" si="2"/>
        <v>176.51999999999998</v>
      </c>
      <c r="N60" t="str">
        <f t="shared" si="1"/>
        <v>Meta No Alcanzada</v>
      </c>
    </row>
    <row r="61" spans="1:14" ht="15" customHeight="1" x14ac:dyDescent="0.25">
      <c r="A61" s="2" t="s">
        <v>151</v>
      </c>
      <c r="B61" s="3" t="s">
        <v>148</v>
      </c>
      <c r="C61" s="2" t="s">
        <v>44</v>
      </c>
      <c r="D61" s="2" t="s">
        <v>59</v>
      </c>
      <c r="E61" s="2" t="s">
        <v>31</v>
      </c>
      <c r="F61" s="2" t="s">
        <v>90</v>
      </c>
      <c r="G61" s="4">
        <v>4</v>
      </c>
      <c r="H61" s="5">
        <v>850</v>
      </c>
      <c r="I61" s="6">
        <v>0.05</v>
      </c>
      <c r="J61" s="5">
        <f t="shared" si="0"/>
        <v>3400</v>
      </c>
      <c r="K61" s="5">
        <f t="shared" si="3"/>
        <v>3230</v>
      </c>
      <c r="L61" s="5">
        <v>509.35</v>
      </c>
      <c r="M61" s="5">
        <f t="shared" si="2"/>
        <v>1192.5999999999999</v>
      </c>
      <c r="N61" t="str">
        <f t="shared" si="1"/>
        <v>Meta No Alcanzada</v>
      </c>
    </row>
    <row r="62" spans="1:14" ht="15" customHeight="1" x14ac:dyDescent="0.25">
      <c r="A62" s="7" t="s">
        <v>152</v>
      </c>
      <c r="B62" s="8" t="s">
        <v>139</v>
      </c>
      <c r="C62" s="7" t="s">
        <v>35</v>
      </c>
      <c r="D62" s="7" t="s">
        <v>59</v>
      </c>
      <c r="E62" s="7" t="s">
        <v>18</v>
      </c>
      <c r="F62" s="7" t="s">
        <v>41</v>
      </c>
      <c r="G62" s="9">
        <v>9</v>
      </c>
      <c r="H62" s="10">
        <v>2800</v>
      </c>
      <c r="I62" s="11">
        <v>0.05</v>
      </c>
      <c r="J62" s="10">
        <f t="shared" si="0"/>
        <v>25200</v>
      </c>
      <c r="K62" s="10">
        <f t="shared" si="3"/>
        <v>23940</v>
      </c>
      <c r="L62" s="10">
        <v>1825.4</v>
      </c>
      <c r="M62" s="10">
        <f t="shared" si="2"/>
        <v>7511.3999999999978</v>
      </c>
      <c r="N62" t="str">
        <f t="shared" si="1"/>
        <v>Meta Cumplida</v>
      </c>
    </row>
    <row r="63" spans="1:14" ht="15" customHeight="1" x14ac:dyDescent="0.25">
      <c r="A63" s="2" t="s">
        <v>153</v>
      </c>
      <c r="B63" s="3" t="s">
        <v>133</v>
      </c>
      <c r="C63" s="2" t="s">
        <v>44</v>
      </c>
      <c r="D63" s="2" t="s">
        <v>48</v>
      </c>
      <c r="E63" s="2" t="s">
        <v>24</v>
      </c>
      <c r="F63" s="2" t="s">
        <v>69</v>
      </c>
      <c r="G63" s="4">
        <v>15</v>
      </c>
      <c r="H63" s="5">
        <v>95</v>
      </c>
      <c r="I63" s="6">
        <v>0</v>
      </c>
      <c r="J63" s="5">
        <f t="shared" si="0"/>
        <v>1425</v>
      </c>
      <c r="K63" s="5">
        <f t="shared" si="3"/>
        <v>1425</v>
      </c>
      <c r="L63" s="5">
        <v>54.79</v>
      </c>
      <c r="M63" s="5">
        <f t="shared" si="2"/>
        <v>603.15</v>
      </c>
      <c r="N63" t="str">
        <f t="shared" si="1"/>
        <v>Meta No Alcanzada</v>
      </c>
    </row>
    <row r="64" spans="1:14" ht="15" customHeight="1" x14ac:dyDescent="0.25">
      <c r="A64" s="7" t="s">
        <v>154</v>
      </c>
      <c r="B64" s="8" t="s">
        <v>146</v>
      </c>
      <c r="C64" s="7" t="s">
        <v>22</v>
      </c>
      <c r="D64" s="7" t="s">
        <v>23</v>
      </c>
      <c r="E64" s="7" t="s">
        <v>18</v>
      </c>
      <c r="F64" s="7" t="s">
        <v>19</v>
      </c>
      <c r="G64" s="9">
        <v>6</v>
      </c>
      <c r="H64" s="10">
        <v>2500</v>
      </c>
      <c r="I64" s="11">
        <v>0.15</v>
      </c>
      <c r="J64" s="10">
        <f t="shared" si="0"/>
        <v>15000</v>
      </c>
      <c r="K64" s="10">
        <f t="shared" si="3"/>
        <v>12750</v>
      </c>
      <c r="L64" s="10">
        <v>1669.91</v>
      </c>
      <c r="M64" s="10">
        <f t="shared" si="2"/>
        <v>2730.5399999999991</v>
      </c>
      <c r="N64" t="str">
        <f t="shared" si="1"/>
        <v>Meta Cumplida</v>
      </c>
    </row>
    <row r="65" spans="1:14" ht="15" customHeight="1" x14ac:dyDescent="0.25">
      <c r="A65" s="2" t="s">
        <v>155</v>
      </c>
      <c r="B65" s="3" t="s">
        <v>146</v>
      </c>
      <c r="C65" s="2" t="s">
        <v>67</v>
      </c>
      <c r="D65" s="2" t="s">
        <v>40</v>
      </c>
      <c r="E65" s="2" t="s">
        <v>24</v>
      </c>
      <c r="F65" s="2" t="s">
        <v>25</v>
      </c>
      <c r="G65" s="4">
        <v>4</v>
      </c>
      <c r="H65" s="5">
        <v>180</v>
      </c>
      <c r="I65" s="6">
        <v>0</v>
      </c>
      <c r="J65" s="5">
        <f t="shared" si="0"/>
        <v>720</v>
      </c>
      <c r="K65" s="5">
        <f t="shared" si="3"/>
        <v>720</v>
      </c>
      <c r="L65" s="5">
        <v>100.2</v>
      </c>
      <c r="M65" s="5">
        <f t="shared" si="2"/>
        <v>319.2</v>
      </c>
      <c r="N65" t="str">
        <f t="shared" si="1"/>
        <v>Meta No Alcanzada</v>
      </c>
    </row>
    <row r="66" spans="1:14" ht="15" customHeight="1" x14ac:dyDescent="0.25">
      <c r="A66" s="7" t="s">
        <v>156</v>
      </c>
      <c r="B66" s="8" t="s">
        <v>131</v>
      </c>
      <c r="C66" s="7" t="s">
        <v>35</v>
      </c>
      <c r="D66" s="7" t="s">
        <v>23</v>
      </c>
      <c r="E66" s="7" t="s">
        <v>18</v>
      </c>
      <c r="F66" s="7" t="s">
        <v>53</v>
      </c>
      <c r="G66" s="9">
        <v>2</v>
      </c>
      <c r="H66" s="10">
        <v>2200</v>
      </c>
      <c r="I66" s="11">
        <v>0.15</v>
      </c>
      <c r="J66" s="10">
        <f t="shared" si="0"/>
        <v>4400</v>
      </c>
      <c r="K66" s="10">
        <f t="shared" si="3"/>
        <v>3740</v>
      </c>
      <c r="L66" s="10">
        <v>1513.85</v>
      </c>
      <c r="M66" s="10">
        <f t="shared" si="2"/>
        <v>712.30000000000018</v>
      </c>
      <c r="N66" t="str">
        <f t="shared" si="1"/>
        <v>Meta No Alcanzada</v>
      </c>
    </row>
    <row r="67" spans="1:14" ht="15" customHeight="1" x14ac:dyDescent="0.25">
      <c r="A67" s="2" t="s">
        <v>157</v>
      </c>
      <c r="B67" s="3" t="s">
        <v>135</v>
      </c>
      <c r="C67" s="2" t="s">
        <v>16</v>
      </c>
      <c r="D67" s="2" t="s">
        <v>17</v>
      </c>
      <c r="E67" s="2" t="s">
        <v>49</v>
      </c>
      <c r="F67" s="2" t="s">
        <v>93</v>
      </c>
      <c r="G67" s="4">
        <v>9</v>
      </c>
      <c r="H67" s="5">
        <v>120</v>
      </c>
      <c r="I67" s="6">
        <v>0</v>
      </c>
      <c r="J67" s="5">
        <f t="shared" ref="J67:J130" si="4">G67*H67</f>
        <v>1080</v>
      </c>
      <c r="K67" s="5">
        <f t="shared" ref="K67:K130" si="5">J67*(1-I67)</f>
        <v>1080</v>
      </c>
      <c r="L67" s="5">
        <v>78</v>
      </c>
      <c r="M67" s="5">
        <f t="shared" ref="M67:M130" si="6">K67-G67*L67</f>
        <v>378</v>
      </c>
      <c r="N67" t="str">
        <f t="shared" si="1"/>
        <v>Meta No Alcanzada</v>
      </c>
    </row>
    <row r="68" spans="1:14" ht="15" customHeight="1" x14ac:dyDescent="0.25">
      <c r="A68" s="7" t="s">
        <v>158</v>
      </c>
      <c r="B68" s="8" t="s">
        <v>159</v>
      </c>
      <c r="C68" s="7" t="s">
        <v>22</v>
      </c>
      <c r="D68" s="7" t="s">
        <v>28</v>
      </c>
      <c r="E68" s="7" t="s">
        <v>36</v>
      </c>
      <c r="F68" s="7" t="s">
        <v>37</v>
      </c>
      <c r="G68" s="9">
        <v>4</v>
      </c>
      <c r="H68" s="10">
        <v>1800</v>
      </c>
      <c r="I68" s="11">
        <v>0.05</v>
      </c>
      <c r="J68" s="10">
        <f t="shared" si="4"/>
        <v>7200</v>
      </c>
      <c r="K68" s="10">
        <f t="shared" si="5"/>
        <v>6840</v>
      </c>
      <c r="L68" s="10">
        <v>1169.53</v>
      </c>
      <c r="M68" s="10">
        <f t="shared" si="6"/>
        <v>2161.88</v>
      </c>
      <c r="N68" t="str">
        <f t="shared" ref="N68:N131" si="7">IF(K68&gt;=5000,"Meta Cumplida","Meta No Alcanzada")</f>
        <v>Meta Cumplida</v>
      </c>
    </row>
    <row r="69" spans="1:14" ht="15" customHeight="1" x14ac:dyDescent="0.25">
      <c r="A69" s="2" t="s">
        <v>160</v>
      </c>
      <c r="B69" s="3" t="s">
        <v>161</v>
      </c>
      <c r="C69" s="2" t="s">
        <v>67</v>
      </c>
      <c r="D69" s="2" t="s">
        <v>40</v>
      </c>
      <c r="E69" s="2" t="s">
        <v>31</v>
      </c>
      <c r="F69" s="2" t="s">
        <v>56</v>
      </c>
      <c r="G69" s="4">
        <v>14</v>
      </c>
      <c r="H69" s="5">
        <v>1200</v>
      </c>
      <c r="I69" s="6">
        <v>0</v>
      </c>
      <c r="J69" s="5">
        <f t="shared" si="4"/>
        <v>16800</v>
      </c>
      <c r="K69" s="5">
        <f t="shared" si="5"/>
        <v>16800</v>
      </c>
      <c r="L69" s="5">
        <v>714.7</v>
      </c>
      <c r="M69" s="5">
        <f t="shared" si="6"/>
        <v>6794.1999999999989</v>
      </c>
      <c r="N69" t="str">
        <f t="shared" si="7"/>
        <v>Meta Cumplida</v>
      </c>
    </row>
    <row r="70" spans="1:14" ht="15" customHeight="1" x14ac:dyDescent="0.25">
      <c r="A70" s="7" t="s">
        <v>162</v>
      </c>
      <c r="B70" s="8" t="s">
        <v>163</v>
      </c>
      <c r="C70" s="7" t="s">
        <v>67</v>
      </c>
      <c r="D70" s="7" t="s">
        <v>23</v>
      </c>
      <c r="E70" s="7" t="s">
        <v>36</v>
      </c>
      <c r="F70" s="7" t="s">
        <v>37</v>
      </c>
      <c r="G70" s="9">
        <v>8</v>
      </c>
      <c r="H70" s="10">
        <v>1800</v>
      </c>
      <c r="I70" s="11">
        <v>0.15</v>
      </c>
      <c r="J70" s="10">
        <f t="shared" si="4"/>
        <v>14400</v>
      </c>
      <c r="K70" s="10">
        <f t="shared" si="5"/>
        <v>12240</v>
      </c>
      <c r="L70" s="10">
        <v>1047.7</v>
      </c>
      <c r="M70" s="10">
        <f t="shared" si="6"/>
        <v>3858.3999999999996</v>
      </c>
      <c r="N70" t="str">
        <f t="shared" si="7"/>
        <v>Meta Cumplida</v>
      </c>
    </row>
    <row r="71" spans="1:14" ht="15" customHeight="1" x14ac:dyDescent="0.25">
      <c r="A71" s="2" t="s">
        <v>164</v>
      </c>
      <c r="B71" s="3" t="s">
        <v>165</v>
      </c>
      <c r="C71" s="2" t="s">
        <v>35</v>
      </c>
      <c r="D71" s="2" t="s">
        <v>40</v>
      </c>
      <c r="E71" s="2" t="s">
        <v>31</v>
      </c>
      <c r="F71" s="2" t="s">
        <v>116</v>
      </c>
      <c r="G71" s="4">
        <v>11</v>
      </c>
      <c r="H71" s="5">
        <v>650</v>
      </c>
      <c r="I71" s="6">
        <v>0.15</v>
      </c>
      <c r="J71" s="5">
        <f t="shared" si="4"/>
        <v>7150</v>
      </c>
      <c r="K71" s="5">
        <f t="shared" si="5"/>
        <v>6077.5</v>
      </c>
      <c r="L71" s="5">
        <v>417.88</v>
      </c>
      <c r="M71" s="5">
        <f t="shared" si="6"/>
        <v>1480.8199999999997</v>
      </c>
      <c r="N71" t="str">
        <f t="shared" si="7"/>
        <v>Meta Cumplida</v>
      </c>
    </row>
    <row r="72" spans="1:14" ht="15" customHeight="1" x14ac:dyDescent="0.25">
      <c r="A72" s="7" t="s">
        <v>166</v>
      </c>
      <c r="B72" s="8" t="s">
        <v>163</v>
      </c>
      <c r="C72" s="7" t="s">
        <v>80</v>
      </c>
      <c r="D72" s="7" t="s">
        <v>28</v>
      </c>
      <c r="E72" s="7" t="s">
        <v>31</v>
      </c>
      <c r="F72" s="7" t="s">
        <v>56</v>
      </c>
      <c r="G72" s="9">
        <v>3</v>
      </c>
      <c r="H72" s="10">
        <v>1200</v>
      </c>
      <c r="I72" s="11">
        <v>0</v>
      </c>
      <c r="J72" s="10">
        <f t="shared" si="4"/>
        <v>3600</v>
      </c>
      <c r="K72" s="10">
        <f t="shared" si="5"/>
        <v>3600</v>
      </c>
      <c r="L72" s="10">
        <v>668.32</v>
      </c>
      <c r="M72" s="10">
        <f t="shared" si="6"/>
        <v>1595.04</v>
      </c>
      <c r="N72" t="str">
        <f t="shared" si="7"/>
        <v>Meta No Alcanzada</v>
      </c>
    </row>
    <row r="73" spans="1:14" ht="15" customHeight="1" x14ac:dyDescent="0.25">
      <c r="A73" s="2" t="s">
        <v>167</v>
      </c>
      <c r="B73" s="3" t="s">
        <v>168</v>
      </c>
      <c r="C73" s="2" t="s">
        <v>67</v>
      </c>
      <c r="D73" s="2" t="s">
        <v>23</v>
      </c>
      <c r="E73" s="2" t="s">
        <v>24</v>
      </c>
      <c r="F73" s="2" t="s">
        <v>25</v>
      </c>
      <c r="G73" s="4">
        <v>15</v>
      </c>
      <c r="H73" s="5">
        <v>180</v>
      </c>
      <c r="I73" s="6">
        <v>0.15</v>
      </c>
      <c r="J73" s="5">
        <f t="shared" si="4"/>
        <v>2700</v>
      </c>
      <c r="K73" s="5">
        <f t="shared" si="5"/>
        <v>2295</v>
      </c>
      <c r="L73" s="5">
        <v>114.54</v>
      </c>
      <c r="M73" s="5">
        <f t="shared" si="6"/>
        <v>576.89999999999986</v>
      </c>
      <c r="N73" t="str">
        <f t="shared" si="7"/>
        <v>Meta No Alcanzada</v>
      </c>
    </row>
    <row r="74" spans="1:14" ht="15" customHeight="1" x14ac:dyDescent="0.25">
      <c r="A74" s="7" t="s">
        <v>169</v>
      </c>
      <c r="B74" s="8" t="s">
        <v>143</v>
      </c>
      <c r="C74" s="7" t="s">
        <v>67</v>
      </c>
      <c r="D74" s="7" t="s">
        <v>28</v>
      </c>
      <c r="E74" s="7" t="s">
        <v>36</v>
      </c>
      <c r="F74" s="7" t="s">
        <v>170</v>
      </c>
      <c r="G74" s="9">
        <v>3</v>
      </c>
      <c r="H74" s="10">
        <v>480</v>
      </c>
      <c r="I74" s="11">
        <v>0.15</v>
      </c>
      <c r="J74" s="10">
        <f t="shared" si="4"/>
        <v>1440</v>
      </c>
      <c r="K74" s="10">
        <f t="shared" si="5"/>
        <v>1224</v>
      </c>
      <c r="L74" s="10">
        <v>313.51</v>
      </c>
      <c r="M74" s="10">
        <f t="shared" si="6"/>
        <v>283.47000000000003</v>
      </c>
      <c r="N74" t="str">
        <f t="shared" si="7"/>
        <v>Meta No Alcanzada</v>
      </c>
    </row>
    <row r="75" spans="1:14" ht="15" customHeight="1" x14ac:dyDescent="0.25">
      <c r="A75" s="2" t="s">
        <v>171</v>
      </c>
      <c r="B75" s="3" t="s">
        <v>172</v>
      </c>
      <c r="C75" s="2" t="s">
        <v>80</v>
      </c>
      <c r="D75" s="2" t="s">
        <v>28</v>
      </c>
      <c r="E75" s="2" t="s">
        <v>18</v>
      </c>
      <c r="F75" s="2" t="s">
        <v>45</v>
      </c>
      <c r="G75" s="4">
        <v>13</v>
      </c>
      <c r="H75" s="5">
        <v>2100</v>
      </c>
      <c r="I75" s="6">
        <v>0.15</v>
      </c>
      <c r="J75" s="5">
        <f t="shared" si="4"/>
        <v>27300</v>
      </c>
      <c r="K75" s="5">
        <f t="shared" si="5"/>
        <v>23205</v>
      </c>
      <c r="L75" s="5">
        <v>1318.16</v>
      </c>
      <c r="M75" s="5">
        <f t="shared" si="6"/>
        <v>6068.9199999999983</v>
      </c>
      <c r="N75" t="str">
        <f t="shared" si="7"/>
        <v>Meta Cumplida</v>
      </c>
    </row>
    <row r="76" spans="1:14" ht="15" customHeight="1" x14ac:dyDescent="0.25">
      <c r="A76" s="7" t="s">
        <v>173</v>
      </c>
      <c r="B76" s="8" t="s">
        <v>137</v>
      </c>
      <c r="C76" s="7" t="s">
        <v>44</v>
      </c>
      <c r="D76" s="7" t="s">
        <v>23</v>
      </c>
      <c r="E76" s="7" t="s">
        <v>24</v>
      </c>
      <c r="F76" s="7" t="s">
        <v>62</v>
      </c>
      <c r="G76" s="9">
        <v>3</v>
      </c>
      <c r="H76" s="10">
        <v>220</v>
      </c>
      <c r="I76" s="11">
        <v>0.05</v>
      </c>
      <c r="J76" s="10">
        <f t="shared" si="4"/>
        <v>660</v>
      </c>
      <c r="K76" s="10">
        <f t="shared" si="5"/>
        <v>627</v>
      </c>
      <c r="L76" s="10">
        <v>143.03</v>
      </c>
      <c r="M76" s="10">
        <f t="shared" si="6"/>
        <v>197.90999999999997</v>
      </c>
      <c r="N76" t="str">
        <f t="shared" si="7"/>
        <v>Meta No Alcanzada</v>
      </c>
    </row>
    <row r="77" spans="1:14" ht="15" customHeight="1" x14ac:dyDescent="0.25">
      <c r="A77" s="2" t="s">
        <v>174</v>
      </c>
      <c r="B77" s="3" t="s">
        <v>175</v>
      </c>
      <c r="C77" s="2" t="s">
        <v>22</v>
      </c>
      <c r="D77" s="2" t="s">
        <v>59</v>
      </c>
      <c r="E77" s="2" t="s">
        <v>49</v>
      </c>
      <c r="F77" s="2" t="s">
        <v>65</v>
      </c>
      <c r="G77" s="4">
        <v>15</v>
      </c>
      <c r="H77" s="5">
        <v>220</v>
      </c>
      <c r="I77" s="6">
        <v>0.1</v>
      </c>
      <c r="J77" s="5">
        <f t="shared" si="4"/>
        <v>3300</v>
      </c>
      <c r="K77" s="5">
        <f t="shared" si="5"/>
        <v>2970</v>
      </c>
      <c r="L77" s="5">
        <v>135.08000000000001</v>
      </c>
      <c r="M77" s="5">
        <f t="shared" si="6"/>
        <v>943.79999999999973</v>
      </c>
      <c r="N77" t="str">
        <f t="shared" si="7"/>
        <v>Meta No Alcanzada</v>
      </c>
    </row>
    <row r="78" spans="1:14" ht="15" customHeight="1" x14ac:dyDescent="0.25">
      <c r="A78" s="7" t="s">
        <v>176</v>
      </c>
      <c r="B78" s="8" t="s">
        <v>177</v>
      </c>
      <c r="C78" s="7" t="s">
        <v>16</v>
      </c>
      <c r="D78" s="7" t="s">
        <v>23</v>
      </c>
      <c r="E78" s="7" t="s">
        <v>36</v>
      </c>
      <c r="F78" s="7" t="s">
        <v>150</v>
      </c>
      <c r="G78" s="9">
        <v>8</v>
      </c>
      <c r="H78" s="10">
        <v>90</v>
      </c>
      <c r="I78" s="11">
        <v>0</v>
      </c>
      <c r="J78" s="10">
        <f t="shared" si="4"/>
        <v>720</v>
      </c>
      <c r="K78" s="10">
        <f t="shared" si="5"/>
        <v>720</v>
      </c>
      <c r="L78" s="10">
        <v>59.65</v>
      </c>
      <c r="M78" s="10">
        <f t="shared" si="6"/>
        <v>242.8</v>
      </c>
      <c r="N78" t="str">
        <f t="shared" si="7"/>
        <v>Meta No Alcanzada</v>
      </c>
    </row>
    <row r="79" spans="1:14" ht="15" customHeight="1" x14ac:dyDescent="0.25">
      <c r="A79" s="2" t="s">
        <v>178</v>
      </c>
      <c r="B79" s="3" t="s">
        <v>179</v>
      </c>
      <c r="C79" s="2" t="s">
        <v>16</v>
      </c>
      <c r="D79" s="2" t="s">
        <v>28</v>
      </c>
      <c r="E79" s="2" t="s">
        <v>49</v>
      </c>
      <c r="F79" s="2" t="s">
        <v>65</v>
      </c>
      <c r="G79" s="4">
        <v>5</v>
      </c>
      <c r="H79" s="5">
        <v>220</v>
      </c>
      <c r="I79" s="6">
        <v>0.05</v>
      </c>
      <c r="J79" s="5">
        <f t="shared" si="4"/>
        <v>1100</v>
      </c>
      <c r="K79" s="5">
        <f t="shared" si="5"/>
        <v>1045</v>
      </c>
      <c r="L79" s="5">
        <v>123.56</v>
      </c>
      <c r="M79" s="5">
        <f t="shared" si="6"/>
        <v>427.20000000000005</v>
      </c>
      <c r="N79" t="str">
        <f t="shared" si="7"/>
        <v>Meta No Alcanzada</v>
      </c>
    </row>
    <row r="80" spans="1:14" ht="15" customHeight="1" x14ac:dyDescent="0.25">
      <c r="A80" s="7" t="s">
        <v>180</v>
      </c>
      <c r="B80" s="8" t="s">
        <v>181</v>
      </c>
      <c r="C80" s="7" t="s">
        <v>35</v>
      </c>
      <c r="D80" s="7" t="s">
        <v>17</v>
      </c>
      <c r="E80" s="7" t="s">
        <v>31</v>
      </c>
      <c r="F80" s="7" t="s">
        <v>56</v>
      </c>
      <c r="G80" s="9">
        <v>15</v>
      </c>
      <c r="H80" s="10">
        <v>1200</v>
      </c>
      <c r="I80" s="11">
        <v>0.1</v>
      </c>
      <c r="J80" s="10">
        <f t="shared" si="4"/>
        <v>18000</v>
      </c>
      <c r="K80" s="10">
        <f t="shared" si="5"/>
        <v>16200</v>
      </c>
      <c r="L80" s="10">
        <v>674.5</v>
      </c>
      <c r="M80" s="10">
        <f t="shared" si="6"/>
        <v>6082.5</v>
      </c>
      <c r="N80" t="str">
        <f t="shared" si="7"/>
        <v>Meta Cumplida</v>
      </c>
    </row>
    <row r="81" spans="1:14" ht="15" customHeight="1" x14ac:dyDescent="0.25">
      <c r="A81" s="2" t="s">
        <v>182</v>
      </c>
      <c r="B81" s="3" t="s">
        <v>183</v>
      </c>
      <c r="C81" s="2" t="s">
        <v>16</v>
      </c>
      <c r="D81" s="2" t="s">
        <v>28</v>
      </c>
      <c r="E81" s="2" t="s">
        <v>31</v>
      </c>
      <c r="F81" s="2" t="s">
        <v>32</v>
      </c>
      <c r="G81" s="4">
        <v>12</v>
      </c>
      <c r="H81" s="5">
        <v>480</v>
      </c>
      <c r="I81" s="6">
        <v>0</v>
      </c>
      <c r="J81" s="5">
        <f t="shared" si="4"/>
        <v>5760</v>
      </c>
      <c r="K81" s="5">
        <f t="shared" si="5"/>
        <v>5760</v>
      </c>
      <c r="L81" s="5">
        <v>268.62</v>
      </c>
      <c r="M81" s="5">
        <f t="shared" si="6"/>
        <v>2536.56</v>
      </c>
      <c r="N81" t="str">
        <f t="shared" si="7"/>
        <v>Meta Cumplida</v>
      </c>
    </row>
    <row r="82" spans="1:14" ht="15" customHeight="1" x14ac:dyDescent="0.25">
      <c r="A82" s="7" t="s">
        <v>184</v>
      </c>
      <c r="B82" s="8" t="s">
        <v>185</v>
      </c>
      <c r="C82" s="7" t="s">
        <v>67</v>
      </c>
      <c r="D82" s="7" t="s">
        <v>48</v>
      </c>
      <c r="E82" s="7" t="s">
        <v>49</v>
      </c>
      <c r="F82" s="7" t="s">
        <v>65</v>
      </c>
      <c r="G82" s="9">
        <v>4</v>
      </c>
      <c r="H82" s="10">
        <v>220</v>
      </c>
      <c r="I82" s="11">
        <v>0.05</v>
      </c>
      <c r="J82" s="10">
        <f t="shared" si="4"/>
        <v>880</v>
      </c>
      <c r="K82" s="10">
        <f t="shared" si="5"/>
        <v>836</v>
      </c>
      <c r="L82" s="10">
        <v>133.85</v>
      </c>
      <c r="M82" s="10">
        <f t="shared" si="6"/>
        <v>300.60000000000002</v>
      </c>
      <c r="N82" t="str">
        <f t="shared" si="7"/>
        <v>Meta No Alcanzada</v>
      </c>
    </row>
    <row r="83" spans="1:14" ht="15" customHeight="1" x14ac:dyDescent="0.25">
      <c r="A83" s="2" t="s">
        <v>186</v>
      </c>
      <c r="B83" s="3" t="s">
        <v>179</v>
      </c>
      <c r="C83" s="2" t="s">
        <v>22</v>
      </c>
      <c r="D83" s="2" t="s">
        <v>23</v>
      </c>
      <c r="E83" s="2" t="s">
        <v>24</v>
      </c>
      <c r="F83" s="2" t="s">
        <v>25</v>
      </c>
      <c r="G83" s="4">
        <v>8</v>
      </c>
      <c r="H83" s="5">
        <v>180</v>
      </c>
      <c r="I83" s="6">
        <v>0</v>
      </c>
      <c r="J83" s="5">
        <f t="shared" si="4"/>
        <v>1440</v>
      </c>
      <c r="K83" s="5">
        <f t="shared" si="5"/>
        <v>1440</v>
      </c>
      <c r="L83" s="5">
        <v>124.45</v>
      </c>
      <c r="M83" s="5">
        <f t="shared" si="6"/>
        <v>444.4</v>
      </c>
      <c r="N83" t="str">
        <f t="shared" si="7"/>
        <v>Meta No Alcanzada</v>
      </c>
    </row>
    <row r="84" spans="1:14" ht="15" customHeight="1" x14ac:dyDescent="0.25">
      <c r="A84" s="7" t="s">
        <v>187</v>
      </c>
      <c r="B84" s="8" t="s">
        <v>188</v>
      </c>
      <c r="C84" s="7" t="s">
        <v>22</v>
      </c>
      <c r="D84" s="7" t="s">
        <v>59</v>
      </c>
      <c r="E84" s="7" t="s">
        <v>36</v>
      </c>
      <c r="F84" s="7" t="s">
        <v>170</v>
      </c>
      <c r="G84" s="9">
        <v>12</v>
      </c>
      <c r="H84" s="10">
        <v>480</v>
      </c>
      <c r="I84" s="11">
        <v>0.1</v>
      </c>
      <c r="J84" s="10">
        <f t="shared" si="4"/>
        <v>5760</v>
      </c>
      <c r="K84" s="10">
        <f t="shared" si="5"/>
        <v>5184</v>
      </c>
      <c r="L84" s="10">
        <v>321.58999999999997</v>
      </c>
      <c r="M84" s="10">
        <f t="shared" si="6"/>
        <v>1324.92</v>
      </c>
      <c r="N84" t="str">
        <f t="shared" si="7"/>
        <v>Meta Cumplida</v>
      </c>
    </row>
    <row r="85" spans="1:14" ht="15" customHeight="1" x14ac:dyDescent="0.25">
      <c r="A85" s="2" t="s">
        <v>189</v>
      </c>
      <c r="B85" s="3" t="s">
        <v>190</v>
      </c>
      <c r="C85" s="2" t="s">
        <v>35</v>
      </c>
      <c r="D85" s="2" t="s">
        <v>23</v>
      </c>
      <c r="E85" s="2" t="s">
        <v>36</v>
      </c>
      <c r="F85" s="2" t="s">
        <v>150</v>
      </c>
      <c r="G85" s="4">
        <v>8</v>
      </c>
      <c r="H85" s="5">
        <v>90</v>
      </c>
      <c r="I85" s="6">
        <v>0</v>
      </c>
      <c r="J85" s="5">
        <f t="shared" si="4"/>
        <v>720</v>
      </c>
      <c r="K85" s="5">
        <f t="shared" si="5"/>
        <v>720</v>
      </c>
      <c r="L85" s="5">
        <v>54.75</v>
      </c>
      <c r="M85" s="5">
        <f t="shared" si="6"/>
        <v>282</v>
      </c>
      <c r="N85" t="str">
        <f t="shared" si="7"/>
        <v>Meta No Alcanzada</v>
      </c>
    </row>
    <row r="86" spans="1:14" ht="15" customHeight="1" x14ac:dyDescent="0.25">
      <c r="A86" s="7" t="s">
        <v>191</v>
      </c>
      <c r="B86" s="8" t="s">
        <v>192</v>
      </c>
      <c r="C86" s="7" t="s">
        <v>67</v>
      </c>
      <c r="D86" s="7" t="s">
        <v>28</v>
      </c>
      <c r="E86" s="7" t="s">
        <v>36</v>
      </c>
      <c r="F86" s="7" t="s">
        <v>150</v>
      </c>
      <c r="G86" s="9">
        <v>10</v>
      </c>
      <c r="H86" s="10">
        <v>90</v>
      </c>
      <c r="I86" s="11">
        <v>0.1</v>
      </c>
      <c r="J86" s="10">
        <f t="shared" si="4"/>
        <v>900</v>
      </c>
      <c r="K86" s="10">
        <f t="shared" si="5"/>
        <v>810</v>
      </c>
      <c r="L86" s="10">
        <v>49.86</v>
      </c>
      <c r="M86" s="10">
        <f t="shared" si="6"/>
        <v>311.39999999999998</v>
      </c>
      <c r="N86" t="str">
        <f t="shared" si="7"/>
        <v>Meta No Alcanzada</v>
      </c>
    </row>
    <row r="87" spans="1:14" ht="15" customHeight="1" x14ac:dyDescent="0.25">
      <c r="A87" s="2" t="s">
        <v>193</v>
      </c>
      <c r="B87" s="3" t="s">
        <v>194</v>
      </c>
      <c r="C87" s="2" t="s">
        <v>44</v>
      </c>
      <c r="D87" s="2" t="s">
        <v>59</v>
      </c>
      <c r="E87" s="2" t="s">
        <v>24</v>
      </c>
      <c r="F87" s="2" t="s">
        <v>25</v>
      </c>
      <c r="G87" s="4">
        <v>7</v>
      </c>
      <c r="H87" s="5">
        <v>180</v>
      </c>
      <c r="I87" s="6">
        <v>0</v>
      </c>
      <c r="J87" s="5">
        <f t="shared" si="4"/>
        <v>1260</v>
      </c>
      <c r="K87" s="5">
        <f t="shared" si="5"/>
        <v>1260</v>
      </c>
      <c r="L87" s="5">
        <v>122.4</v>
      </c>
      <c r="M87" s="5">
        <f t="shared" si="6"/>
        <v>403.19999999999993</v>
      </c>
      <c r="N87" t="str">
        <f t="shared" si="7"/>
        <v>Meta No Alcanzada</v>
      </c>
    </row>
    <row r="88" spans="1:14" ht="15" customHeight="1" x14ac:dyDescent="0.25">
      <c r="A88" s="7" t="s">
        <v>195</v>
      </c>
      <c r="B88" s="8" t="s">
        <v>185</v>
      </c>
      <c r="C88" s="7" t="s">
        <v>67</v>
      </c>
      <c r="D88" s="7" t="s">
        <v>17</v>
      </c>
      <c r="E88" s="7" t="s">
        <v>18</v>
      </c>
      <c r="F88" s="7" t="s">
        <v>41</v>
      </c>
      <c r="G88" s="9">
        <v>4</v>
      </c>
      <c r="H88" s="10">
        <v>2800</v>
      </c>
      <c r="I88" s="11">
        <v>0.05</v>
      </c>
      <c r="J88" s="10">
        <f t="shared" si="4"/>
        <v>11200</v>
      </c>
      <c r="K88" s="10">
        <f t="shared" si="5"/>
        <v>10640</v>
      </c>
      <c r="L88" s="10">
        <v>1677.28</v>
      </c>
      <c r="M88" s="10">
        <f t="shared" si="6"/>
        <v>3930.88</v>
      </c>
      <c r="N88" t="str">
        <f t="shared" si="7"/>
        <v>Meta Cumplida</v>
      </c>
    </row>
    <row r="89" spans="1:14" ht="15" customHeight="1" x14ac:dyDescent="0.25">
      <c r="A89" s="2" t="s">
        <v>196</v>
      </c>
      <c r="B89" s="3" t="s">
        <v>197</v>
      </c>
      <c r="C89" s="2" t="s">
        <v>67</v>
      </c>
      <c r="D89" s="2" t="s">
        <v>17</v>
      </c>
      <c r="E89" s="2" t="s">
        <v>36</v>
      </c>
      <c r="F89" s="2" t="s">
        <v>37</v>
      </c>
      <c r="G89" s="4">
        <v>14</v>
      </c>
      <c r="H89" s="5">
        <v>1800</v>
      </c>
      <c r="I89" s="6">
        <v>0</v>
      </c>
      <c r="J89" s="5">
        <f t="shared" si="4"/>
        <v>25200</v>
      </c>
      <c r="K89" s="5">
        <f t="shared" si="5"/>
        <v>25200</v>
      </c>
      <c r="L89" s="5">
        <v>1116.98</v>
      </c>
      <c r="M89" s="5">
        <f t="shared" si="6"/>
        <v>9562.2799999999988</v>
      </c>
      <c r="N89" t="str">
        <f t="shared" si="7"/>
        <v>Meta Cumplida</v>
      </c>
    </row>
    <row r="90" spans="1:14" ht="15" customHeight="1" x14ac:dyDescent="0.25">
      <c r="A90" s="7" t="s">
        <v>198</v>
      </c>
      <c r="B90" s="8" t="s">
        <v>199</v>
      </c>
      <c r="C90" s="7" t="s">
        <v>35</v>
      </c>
      <c r="D90" s="7" t="s">
        <v>28</v>
      </c>
      <c r="E90" s="7" t="s">
        <v>24</v>
      </c>
      <c r="F90" s="7" t="s">
        <v>25</v>
      </c>
      <c r="G90" s="9">
        <v>11</v>
      </c>
      <c r="H90" s="10">
        <v>180</v>
      </c>
      <c r="I90" s="11">
        <v>0</v>
      </c>
      <c r="J90" s="10">
        <f t="shared" si="4"/>
        <v>1980</v>
      </c>
      <c r="K90" s="10">
        <f t="shared" si="5"/>
        <v>1980</v>
      </c>
      <c r="L90" s="10">
        <v>120.09</v>
      </c>
      <c r="M90" s="10">
        <f t="shared" si="6"/>
        <v>659.01</v>
      </c>
      <c r="N90" t="str">
        <f t="shared" si="7"/>
        <v>Meta No Alcanzada</v>
      </c>
    </row>
    <row r="91" spans="1:14" ht="15" customHeight="1" x14ac:dyDescent="0.25">
      <c r="A91" s="2" t="s">
        <v>200</v>
      </c>
      <c r="B91" s="3" t="s">
        <v>188</v>
      </c>
      <c r="C91" s="2" t="s">
        <v>80</v>
      </c>
      <c r="D91" s="2" t="s">
        <v>28</v>
      </c>
      <c r="E91" s="2" t="s">
        <v>18</v>
      </c>
      <c r="F91" s="2" t="s">
        <v>19</v>
      </c>
      <c r="G91" s="4">
        <v>14</v>
      </c>
      <c r="H91" s="5">
        <v>2500</v>
      </c>
      <c r="I91" s="6">
        <v>0</v>
      </c>
      <c r="J91" s="5">
        <f t="shared" si="4"/>
        <v>35000</v>
      </c>
      <c r="K91" s="5">
        <f t="shared" si="5"/>
        <v>35000</v>
      </c>
      <c r="L91" s="5">
        <v>1608</v>
      </c>
      <c r="M91" s="5">
        <f t="shared" si="6"/>
        <v>12488</v>
      </c>
      <c r="N91" t="str">
        <f t="shared" si="7"/>
        <v>Meta Cumplida</v>
      </c>
    </row>
    <row r="92" spans="1:14" ht="15" customHeight="1" x14ac:dyDescent="0.25">
      <c r="A92" s="7" t="s">
        <v>201</v>
      </c>
      <c r="B92" s="8" t="s">
        <v>202</v>
      </c>
      <c r="C92" s="7" t="s">
        <v>16</v>
      </c>
      <c r="D92" s="7" t="s">
        <v>48</v>
      </c>
      <c r="E92" s="7" t="s">
        <v>31</v>
      </c>
      <c r="F92" s="7" t="s">
        <v>32</v>
      </c>
      <c r="G92" s="9">
        <v>10</v>
      </c>
      <c r="H92" s="10">
        <v>480</v>
      </c>
      <c r="I92" s="11">
        <v>0</v>
      </c>
      <c r="J92" s="10">
        <f t="shared" si="4"/>
        <v>4800</v>
      </c>
      <c r="K92" s="10">
        <f t="shared" si="5"/>
        <v>4800</v>
      </c>
      <c r="L92" s="10">
        <v>297.48</v>
      </c>
      <c r="M92" s="10">
        <f t="shared" si="6"/>
        <v>1825.1999999999998</v>
      </c>
      <c r="N92" t="str">
        <f t="shared" si="7"/>
        <v>Meta No Alcanzada</v>
      </c>
    </row>
    <row r="93" spans="1:14" ht="15" customHeight="1" x14ac:dyDescent="0.25">
      <c r="A93" s="2" t="s">
        <v>203</v>
      </c>
      <c r="B93" s="3" t="s">
        <v>177</v>
      </c>
      <c r="C93" s="2" t="s">
        <v>22</v>
      </c>
      <c r="D93" s="2" t="s">
        <v>40</v>
      </c>
      <c r="E93" s="2" t="s">
        <v>49</v>
      </c>
      <c r="F93" s="2" t="s">
        <v>50</v>
      </c>
      <c r="G93" s="4">
        <v>12</v>
      </c>
      <c r="H93" s="5">
        <v>85</v>
      </c>
      <c r="I93" s="6">
        <v>0.15</v>
      </c>
      <c r="J93" s="5">
        <f t="shared" si="4"/>
        <v>1020</v>
      </c>
      <c r="K93" s="5">
        <f t="shared" si="5"/>
        <v>867</v>
      </c>
      <c r="L93" s="5">
        <v>48.21</v>
      </c>
      <c r="M93" s="5">
        <f t="shared" si="6"/>
        <v>288.48</v>
      </c>
      <c r="N93" t="str">
        <f t="shared" si="7"/>
        <v>Meta No Alcanzada</v>
      </c>
    </row>
    <row r="94" spans="1:14" ht="15" customHeight="1" x14ac:dyDescent="0.25">
      <c r="A94" s="7" t="s">
        <v>204</v>
      </c>
      <c r="B94" s="8" t="s">
        <v>192</v>
      </c>
      <c r="C94" s="7" t="s">
        <v>44</v>
      </c>
      <c r="D94" s="7" t="s">
        <v>40</v>
      </c>
      <c r="E94" s="7" t="s">
        <v>31</v>
      </c>
      <c r="F94" s="7" t="s">
        <v>56</v>
      </c>
      <c r="G94" s="9">
        <v>1</v>
      </c>
      <c r="H94" s="10">
        <v>1200</v>
      </c>
      <c r="I94" s="11">
        <v>0</v>
      </c>
      <c r="J94" s="10">
        <f t="shared" si="4"/>
        <v>1200</v>
      </c>
      <c r="K94" s="10">
        <f t="shared" si="5"/>
        <v>1200</v>
      </c>
      <c r="L94" s="10">
        <v>763.64</v>
      </c>
      <c r="M94" s="10">
        <f t="shared" si="6"/>
        <v>436.36</v>
      </c>
      <c r="N94" t="str">
        <f t="shared" si="7"/>
        <v>Meta No Alcanzada</v>
      </c>
    </row>
    <row r="95" spans="1:14" ht="15" customHeight="1" x14ac:dyDescent="0.25">
      <c r="A95" s="2" t="s">
        <v>205</v>
      </c>
      <c r="B95" s="3" t="s">
        <v>206</v>
      </c>
      <c r="C95" s="2" t="s">
        <v>44</v>
      </c>
      <c r="D95" s="2" t="s">
        <v>40</v>
      </c>
      <c r="E95" s="2" t="s">
        <v>36</v>
      </c>
      <c r="F95" s="2" t="s">
        <v>150</v>
      </c>
      <c r="G95" s="4">
        <v>12</v>
      </c>
      <c r="H95" s="5">
        <v>90</v>
      </c>
      <c r="I95" s="6">
        <v>0.15</v>
      </c>
      <c r="J95" s="5">
        <f t="shared" si="4"/>
        <v>1080</v>
      </c>
      <c r="K95" s="5">
        <f t="shared" si="5"/>
        <v>918</v>
      </c>
      <c r="L95" s="5">
        <v>52.78</v>
      </c>
      <c r="M95" s="5">
        <f t="shared" si="6"/>
        <v>284.64</v>
      </c>
      <c r="N95" t="str">
        <f t="shared" si="7"/>
        <v>Meta No Alcanzada</v>
      </c>
    </row>
    <row r="96" spans="1:14" ht="15" customHeight="1" x14ac:dyDescent="0.25">
      <c r="A96" s="7" t="s">
        <v>207</v>
      </c>
      <c r="B96" s="8" t="s">
        <v>208</v>
      </c>
      <c r="C96" s="7" t="s">
        <v>22</v>
      </c>
      <c r="D96" s="7" t="s">
        <v>48</v>
      </c>
      <c r="E96" s="7" t="s">
        <v>49</v>
      </c>
      <c r="F96" s="7" t="s">
        <v>93</v>
      </c>
      <c r="G96" s="9">
        <v>6</v>
      </c>
      <c r="H96" s="10">
        <v>120</v>
      </c>
      <c r="I96" s="11">
        <v>0.1</v>
      </c>
      <c r="J96" s="10">
        <f t="shared" si="4"/>
        <v>720</v>
      </c>
      <c r="K96" s="10">
        <f t="shared" si="5"/>
        <v>648</v>
      </c>
      <c r="L96" s="10">
        <v>73.709999999999994</v>
      </c>
      <c r="M96" s="10">
        <f t="shared" si="6"/>
        <v>205.74</v>
      </c>
      <c r="N96" t="str">
        <f t="shared" si="7"/>
        <v>Meta No Alcanzada</v>
      </c>
    </row>
    <row r="97" spans="1:14" ht="15" customHeight="1" x14ac:dyDescent="0.25">
      <c r="A97" s="2" t="s">
        <v>209</v>
      </c>
      <c r="B97" s="3" t="s">
        <v>208</v>
      </c>
      <c r="C97" s="2" t="s">
        <v>44</v>
      </c>
      <c r="D97" s="2" t="s">
        <v>23</v>
      </c>
      <c r="E97" s="2" t="s">
        <v>18</v>
      </c>
      <c r="F97" s="2" t="s">
        <v>41</v>
      </c>
      <c r="G97" s="4">
        <v>14</v>
      </c>
      <c r="H97" s="5">
        <v>2800</v>
      </c>
      <c r="I97" s="6">
        <v>0.05</v>
      </c>
      <c r="J97" s="5">
        <f t="shared" si="4"/>
        <v>39200</v>
      </c>
      <c r="K97" s="5">
        <f t="shared" si="5"/>
        <v>37240</v>
      </c>
      <c r="L97" s="5">
        <v>1584.33</v>
      </c>
      <c r="M97" s="5">
        <f t="shared" si="6"/>
        <v>15059.380000000001</v>
      </c>
      <c r="N97" t="str">
        <f t="shared" si="7"/>
        <v>Meta Cumplida</v>
      </c>
    </row>
    <row r="98" spans="1:14" ht="15" customHeight="1" x14ac:dyDescent="0.25">
      <c r="A98" s="7" t="s">
        <v>210</v>
      </c>
      <c r="B98" s="8" t="s">
        <v>202</v>
      </c>
      <c r="C98" s="7" t="s">
        <v>67</v>
      </c>
      <c r="D98" s="7" t="s">
        <v>28</v>
      </c>
      <c r="E98" s="7" t="s">
        <v>36</v>
      </c>
      <c r="F98" s="7" t="s">
        <v>150</v>
      </c>
      <c r="G98" s="9">
        <v>12</v>
      </c>
      <c r="H98" s="10">
        <v>90</v>
      </c>
      <c r="I98" s="11">
        <v>0.1</v>
      </c>
      <c r="J98" s="10">
        <f t="shared" si="4"/>
        <v>1080</v>
      </c>
      <c r="K98" s="10">
        <f t="shared" si="5"/>
        <v>972</v>
      </c>
      <c r="L98" s="10">
        <v>62.53</v>
      </c>
      <c r="M98" s="10">
        <f t="shared" si="6"/>
        <v>221.64</v>
      </c>
      <c r="N98" t="str">
        <f t="shared" si="7"/>
        <v>Meta No Alcanzada</v>
      </c>
    </row>
    <row r="99" spans="1:14" ht="15" customHeight="1" x14ac:dyDescent="0.25">
      <c r="A99" s="2" t="s">
        <v>211</v>
      </c>
      <c r="B99" s="3" t="s">
        <v>212</v>
      </c>
      <c r="C99" s="2" t="s">
        <v>67</v>
      </c>
      <c r="D99" s="2" t="s">
        <v>23</v>
      </c>
      <c r="E99" s="2" t="s">
        <v>24</v>
      </c>
      <c r="F99" s="2" t="s">
        <v>102</v>
      </c>
      <c r="G99" s="4">
        <v>14</v>
      </c>
      <c r="H99" s="5">
        <v>320</v>
      </c>
      <c r="I99" s="6">
        <v>0.15</v>
      </c>
      <c r="J99" s="5">
        <f t="shared" si="4"/>
        <v>4480</v>
      </c>
      <c r="K99" s="5">
        <f t="shared" si="5"/>
        <v>3808</v>
      </c>
      <c r="L99" s="5">
        <v>204.44</v>
      </c>
      <c r="M99" s="5">
        <f t="shared" si="6"/>
        <v>945.84000000000015</v>
      </c>
      <c r="N99" t="str">
        <f t="shared" si="7"/>
        <v>Meta No Alcanzada</v>
      </c>
    </row>
    <row r="100" spans="1:14" ht="15" customHeight="1" x14ac:dyDescent="0.25">
      <c r="A100" s="7" t="s">
        <v>213</v>
      </c>
      <c r="B100" s="8" t="s">
        <v>190</v>
      </c>
      <c r="C100" s="7" t="s">
        <v>35</v>
      </c>
      <c r="D100" s="7" t="s">
        <v>23</v>
      </c>
      <c r="E100" s="7" t="s">
        <v>31</v>
      </c>
      <c r="F100" s="7" t="s">
        <v>116</v>
      </c>
      <c r="G100" s="9">
        <v>4</v>
      </c>
      <c r="H100" s="10">
        <v>650</v>
      </c>
      <c r="I100" s="11">
        <v>0.05</v>
      </c>
      <c r="J100" s="10">
        <f t="shared" si="4"/>
        <v>2600</v>
      </c>
      <c r="K100" s="10">
        <f t="shared" si="5"/>
        <v>2470</v>
      </c>
      <c r="L100" s="10">
        <v>413.06</v>
      </c>
      <c r="M100" s="10">
        <f t="shared" si="6"/>
        <v>817.76</v>
      </c>
      <c r="N100" t="str">
        <f t="shared" si="7"/>
        <v>Meta No Alcanzada</v>
      </c>
    </row>
    <row r="101" spans="1:14" ht="15" customHeight="1" x14ac:dyDescent="0.25">
      <c r="A101" s="2" t="s">
        <v>214</v>
      </c>
      <c r="B101" s="3" t="s">
        <v>215</v>
      </c>
      <c r="C101" s="2" t="s">
        <v>44</v>
      </c>
      <c r="D101" s="2" t="s">
        <v>23</v>
      </c>
      <c r="E101" s="2" t="s">
        <v>36</v>
      </c>
      <c r="F101" s="2" t="s">
        <v>37</v>
      </c>
      <c r="G101" s="4">
        <v>14</v>
      </c>
      <c r="H101" s="5">
        <v>1800</v>
      </c>
      <c r="I101" s="6">
        <v>0</v>
      </c>
      <c r="J101" s="5">
        <f t="shared" si="4"/>
        <v>25200</v>
      </c>
      <c r="K101" s="5">
        <f t="shared" si="5"/>
        <v>25200</v>
      </c>
      <c r="L101" s="5">
        <v>1039.0999999999999</v>
      </c>
      <c r="M101" s="5">
        <f t="shared" si="6"/>
        <v>10652.600000000002</v>
      </c>
      <c r="N101" t="str">
        <f t="shared" si="7"/>
        <v>Meta Cumplida</v>
      </c>
    </row>
    <row r="102" spans="1:14" ht="15" customHeight="1" x14ac:dyDescent="0.25">
      <c r="A102" s="7" t="s">
        <v>216</v>
      </c>
      <c r="B102" s="8" t="s">
        <v>202</v>
      </c>
      <c r="C102" s="7" t="s">
        <v>35</v>
      </c>
      <c r="D102" s="7" t="s">
        <v>17</v>
      </c>
      <c r="E102" s="7" t="s">
        <v>49</v>
      </c>
      <c r="F102" s="7" t="s">
        <v>127</v>
      </c>
      <c r="G102" s="9">
        <v>15</v>
      </c>
      <c r="H102" s="10">
        <v>180</v>
      </c>
      <c r="I102" s="11">
        <v>0.1</v>
      </c>
      <c r="J102" s="10">
        <f t="shared" si="4"/>
        <v>2700</v>
      </c>
      <c r="K102" s="10">
        <f t="shared" si="5"/>
        <v>2430</v>
      </c>
      <c r="L102" s="10">
        <v>117.93</v>
      </c>
      <c r="M102" s="10">
        <f t="shared" si="6"/>
        <v>661.05</v>
      </c>
      <c r="N102" t="str">
        <f t="shared" si="7"/>
        <v>Meta No Alcanzada</v>
      </c>
    </row>
    <row r="103" spans="1:14" ht="15" customHeight="1" x14ac:dyDescent="0.25">
      <c r="A103" s="2" t="s">
        <v>217</v>
      </c>
      <c r="B103" s="3" t="s">
        <v>218</v>
      </c>
      <c r="C103" s="2" t="s">
        <v>22</v>
      </c>
      <c r="D103" s="2" t="s">
        <v>28</v>
      </c>
      <c r="E103" s="2" t="s">
        <v>24</v>
      </c>
      <c r="F103" s="2" t="s">
        <v>25</v>
      </c>
      <c r="G103" s="4">
        <v>2</v>
      </c>
      <c r="H103" s="5">
        <v>180</v>
      </c>
      <c r="I103" s="6">
        <v>0</v>
      </c>
      <c r="J103" s="5">
        <f t="shared" si="4"/>
        <v>360</v>
      </c>
      <c r="K103" s="5">
        <f t="shared" si="5"/>
        <v>360</v>
      </c>
      <c r="L103" s="5">
        <v>118.44</v>
      </c>
      <c r="M103" s="5">
        <f t="shared" si="6"/>
        <v>123.12</v>
      </c>
      <c r="N103" t="str">
        <f t="shared" si="7"/>
        <v>Meta No Alcanzada</v>
      </c>
    </row>
    <row r="104" spans="1:14" ht="15" customHeight="1" x14ac:dyDescent="0.25">
      <c r="A104" s="7" t="s">
        <v>219</v>
      </c>
      <c r="B104" s="8" t="s">
        <v>220</v>
      </c>
      <c r="C104" s="7" t="s">
        <v>16</v>
      </c>
      <c r="D104" s="7" t="s">
        <v>59</v>
      </c>
      <c r="E104" s="7" t="s">
        <v>31</v>
      </c>
      <c r="F104" s="7" t="s">
        <v>32</v>
      </c>
      <c r="G104" s="9">
        <v>8</v>
      </c>
      <c r="H104" s="10">
        <v>480</v>
      </c>
      <c r="I104" s="11">
        <v>0.05</v>
      </c>
      <c r="J104" s="10">
        <f t="shared" si="4"/>
        <v>3840</v>
      </c>
      <c r="K104" s="10">
        <f t="shared" si="5"/>
        <v>3648</v>
      </c>
      <c r="L104" s="10">
        <v>321.08999999999997</v>
      </c>
      <c r="M104" s="10">
        <f t="shared" si="6"/>
        <v>1079.2800000000002</v>
      </c>
      <c r="N104" t="str">
        <f t="shared" si="7"/>
        <v>Meta No Alcanzada</v>
      </c>
    </row>
    <row r="105" spans="1:14" ht="15" customHeight="1" x14ac:dyDescent="0.25">
      <c r="A105" s="2" t="s">
        <v>221</v>
      </c>
      <c r="B105" s="3" t="s">
        <v>222</v>
      </c>
      <c r="C105" s="2" t="s">
        <v>67</v>
      </c>
      <c r="D105" s="2" t="s">
        <v>59</v>
      </c>
      <c r="E105" s="2" t="s">
        <v>49</v>
      </c>
      <c r="F105" s="2" t="s">
        <v>50</v>
      </c>
      <c r="G105" s="4">
        <v>4</v>
      </c>
      <c r="H105" s="5">
        <v>85</v>
      </c>
      <c r="I105" s="6">
        <v>0</v>
      </c>
      <c r="J105" s="5">
        <f t="shared" si="4"/>
        <v>340</v>
      </c>
      <c r="K105" s="5">
        <f t="shared" si="5"/>
        <v>340</v>
      </c>
      <c r="L105" s="5">
        <v>55.22</v>
      </c>
      <c r="M105" s="5">
        <f t="shared" si="6"/>
        <v>119.12</v>
      </c>
      <c r="N105" t="str">
        <f t="shared" si="7"/>
        <v>Meta No Alcanzada</v>
      </c>
    </row>
    <row r="106" spans="1:14" ht="15" customHeight="1" x14ac:dyDescent="0.25">
      <c r="A106" s="7" t="s">
        <v>223</v>
      </c>
      <c r="B106" s="8" t="s">
        <v>224</v>
      </c>
      <c r="C106" s="7" t="s">
        <v>67</v>
      </c>
      <c r="D106" s="7" t="s">
        <v>59</v>
      </c>
      <c r="E106" s="7" t="s">
        <v>36</v>
      </c>
      <c r="F106" s="7" t="s">
        <v>37</v>
      </c>
      <c r="G106" s="9">
        <v>9</v>
      </c>
      <c r="H106" s="10">
        <v>1800</v>
      </c>
      <c r="I106" s="11">
        <v>0</v>
      </c>
      <c r="J106" s="10">
        <f t="shared" si="4"/>
        <v>16200</v>
      </c>
      <c r="K106" s="10">
        <f t="shared" si="5"/>
        <v>16200</v>
      </c>
      <c r="L106" s="10">
        <v>1084.99</v>
      </c>
      <c r="M106" s="10">
        <f t="shared" si="6"/>
        <v>6435.09</v>
      </c>
      <c r="N106" t="str">
        <f t="shared" si="7"/>
        <v>Meta Cumplida</v>
      </c>
    </row>
    <row r="107" spans="1:14" ht="15" customHeight="1" x14ac:dyDescent="0.25">
      <c r="A107" s="2" t="s">
        <v>225</v>
      </c>
      <c r="B107" s="3" t="s">
        <v>226</v>
      </c>
      <c r="C107" s="2" t="s">
        <v>35</v>
      </c>
      <c r="D107" s="2" t="s">
        <v>28</v>
      </c>
      <c r="E107" s="2" t="s">
        <v>49</v>
      </c>
      <c r="F107" s="2" t="s">
        <v>127</v>
      </c>
      <c r="G107" s="4">
        <v>2</v>
      </c>
      <c r="H107" s="5">
        <v>180</v>
      </c>
      <c r="I107" s="6">
        <v>0.15</v>
      </c>
      <c r="J107" s="5">
        <f t="shared" si="4"/>
        <v>360</v>
      </c>
      <c r="K107" s="5">
        <f t="shared" si="5"/>
        <v>306</v>
      </c>
      <c r="L107" s="5">
        <v>104.2</v>
      </c>
      <c r="M107" s="5">
        <f t="shared" si="6"/>
        <v>97.6</v>
      </c>
      <c r="N107" t="str">
        <f t="shared" si="7"/>
        <v>Meta No Alcanzada</v>
      </c>
    </row>
    <row r="108" spans="1:14" ht="15" customHeight="1" x14ac:dyDescent="0.25">
      <c r="A108" s="7" t="s">
        <v>227</v>
      </c>
      <c r="B108" s="8" t="s">
        <v>228</v>
      </c>
      <c r="C108" s="7" t="s">
        <v>80</v>
      </c>
      <c r="D108" s="7" t="s">
        <v>28</v>
      </c>
      <c r="E108" s="7" t="s">
        <v>24</v>
      </c>
      <c r="F108" s="7" t="s">
        <v>62</v>
      </c>
      <c r="G108" s="9">
        <v>12</v>
      </c>
      <c r="H108" s="10">
        <v>220</v>
      </c>
      <c r="I108" s="11">
        <v>0.05</v>
      </c>
      <c r="J108" s="10">
        <f t="shared" si="4"/>
        <v>2640</v>
      </c>
      <c r="K108" s="10">
        <f t="shared" si="5"/>
        <v>2508</v>
      </c>
      <c r="L108" s="10">
        <v>130.12</v>
      </c>
      <c r="M108" s="10">
        <f t="shared" si="6"/>
        <v>946.56</v>
      </c>
      <c r="N108" t="str">
        <f t="shared" si="7"/>
        <v>Meta No Alcanzada</v>
      </c>
    </row>
    <row r="109" spans="1:14" ht="15" customHeight="1" x14ac:dyDescent="0.25">
      <c r="A109" s="2" t="s">
        <v>229</v>
      </c>
      <c r="B109" s="3" t="s">
        <v>230</v>
      </c>
      <c r="C109" s="2" t="s">
        <v>44</v>
      </c>
      <c r="D109" s="2" t="s">
        <v>28</v>
      </c>
      <c r="E109" s="2" t="s">
        <v>24</v>
      </c>
      <c r="F109" s="2" t="s">
        <v>69</v>
      </c>
      <c r="G109" s="4">
        <v>5</v>
      </c>
      <c r="H109" s="5">
        <v>95</v>
      </c>
      <c r="I109" s="6">
        <v>0</v>
      </c>
      <c r="J109" s="5">
        <f t="shared" si="4"/>
        <v>475</v>
      </c>
      <c r="K109" s="5">
        <f t="shared" si="5"/>
        <v>475</v>
      </c>
      <c r="L109" s="5">
        <v>57.39</v>
      </c>
      <c r="M109" s="5">
        <f t="shared" si="6"/>
        <v>188.05</v>
      </c>
      <c r="N109" t="str">
        <f t="shared" si="7"/>
        <v>Meta No Alcanzada</v>
      </c>
    </row>
    <row r="110" spans="1:14" ht="15" customHeight="1" x14ac:dyDescent="0.25">
      <c r="A110" s="7" t="s">
        <v>231</v>
      </c>
      <c r="B110" s="8" t="s">
        <v>232</v>
      </c>
      <c r="C110" s="7" t="s">
        <v>35</v>
      </c>
      <c r="D110" s="7" t="s">
        <v>48</v>
      </c>
      <c r="E110" s="7" t="s">
        <v>18</v>
      </c>
      <c r="F110" s="7" t="s">
        <v>53</v>
      </c>
      <c r="G110" s="9">
        <v>1</v>
      </c>
      <c r="H110" s="10">
        <v>2200</v>
      </c>
      <c r="I110" s="11">
        <v>0.1</v>
      </c>
      <c r="J110" s="10">
        <f t="shared" si="4"/>
        <v>2200</v>
      </c>
      <c r="K110" s="10">
        <f t="shared" si="5"/>
        <v>1980</v>
      </c>
      <c r="L110" s="10">
        <v>1306.4100000000001</v>
      </c>
      <c r="M110" s="10">
        <f t="shared" si="6"/>
        <v>673.58999999999992</v>
      </c>
      <c r="N110" t="str">
        <f t="shared" si="7"/>
        <v>Meta No Alcanzada</v>
      </c>
    </row>
    <row r="111" spans="1:14" ht="15" customHeight="1" x14ac:dyDescent="0.25">
      <c r="A111" s="2" t="s">
        <v>233</v>
      </c>
      <c r="B111" s="3" t="s">
        <v>234</v>
      </c>
      <c r="C111" s="2" t="s">
        <v>44</v>
      </c>
      <c r="D111" s="2" t="s">
        <v>40</v>
      </c>
      <c r="E111" s="2" t="s">
        <v>36</v>
      </c>
      <c r="F111" s="2" t="s">
        <v>72</v>
      </c>
      <c r="G111" s="4">
        <v>5</v>
      </c>
      <c r="H111" s="5">
        <v>350</v>
      </c>
      <c r="I111" s="6">
        <v>0.05</v>
      </c>
      <c r="J111" s="5">
        <f t="shared" si="4"/>
        <v>1750</v>
      </c>
      <c r="K111" s="5">
        <f t="shared" si="5"/>
        <v>1662.5</v>
      </c>
      <c r="L111" s="5">
        <v>217.63</v>
      </c>
      <c r="M111" s="5">
        <f t="shared" si="6"/>
        <v>574.34999999999991</v>
      </c>
      <c r="N111" t="str">
        <f t="shared" si="7"/>
        <v>Meta No Alcanzada</v>
      </c>
    </row>
    <row r="112" spans="1:14" ht="15" customHeight="1" x14ac:dyDescent="0.25">
      <c r="A112" s="7" t="s">
        <v>235</v>
      </c>
      <c r="B112" s="8" t="s">
        <v>220</v>
      </c>
      <c r="C112" s="7" t="s">
        <v>35</v>
      </c>
      <c r="D112" s="7" t="s">
        <v>23</v>
      </c>
      <c r="E112" s="7" t="s">
        <v>31</v>
      </c>
      <c r="F112" s="7" t="s">
        <v>116</v>
      </c>
      <c r="G112" s="9">
        <v>2</v>
      </c>
      <c r="H112" s="10">
        <v>650</v>
      </c>
      <c r="I112" s="11">
        <v>0</v>
      </c>
      <c r="J112" s="10">
        <f t="shared" si="4"/>
        <v>1300</v>
      </c>
      <c r="K112" s="10">
        <f t="shared" si="5"/>
        <v>1300</v>
      </c>
      <c r="L112" s="10">
        <v>396.57</v>
      </c>
      <c r="M112" s="10">
        <f t="shared" si="6"/>
        <v>506.86</v>
      </c>
      <c r="N112" t="str">
        <f t="shared" si="7"/>
        <v>Meta No Alcanzada</v>
      </c>
    </row>
    <row r="113" spans="1:14" ht="15" customHeight="1" x14ac:dyDescent="0.25">
      <c r="A113" s="2" t="s">
        <v>236</v>
      </c>
      <c r="B113" s="3" t="s">
        <v>220</v>
      </c>
      <c r="C113" s="2" t="s">
        <v>80</v>
      </c>
      <c r="D113" s="2" t="s">
        <v>28</v>
      </c>
      <c r="E113" s="2" t="s">
        <v>24</v>
      </c>
      <c r="F113" s="2" t="s">
        <v>25</v>
      </c>
      <c r="G113" s="4">
        <v>13</v>
      </c>
      <c r="H113" s="5">
        <v>180</v>
      </c>
      <c r="I113" s="6">
        <v>0.1</v>
      </c>
      <c r="J113" s="5">
        <f t="shared" si="4"/>
        <v>2340</v>
      </c>
      <c r="K113" s="5">
        <f t="shared" si="5"/>
        <v>2106</v>
      </c>
      <c r="L113" s="5">
        <v>124.63</v>
      </c>
      <c r="M113" s="5">
        <f t="shared" si="6"/>
        <v>485.80999999999995</v>
      </c>
      <c r="N113" t="str">
        <f t="shared" si="7"/>
        <v>Meta No Alcanzada</v>
      </c>
    </row>
    <row r="114" spans="1:14" ht="15" customHeight="1" x14ac:dyDescent="0.25">
      <c r="A114" s="7" t="s">
        <v>237</v>
      </c>
      <c r="B114" s="8" t="s">
        <v>238</v>
      </c>
      <c r="C114" s="7" t="s">
        <v>22</v>
      </c>
      <c r="D114" s="7" t="s">
        <v>23</v>
      </c>
      <c r="E114" s="7" t="s">
        <v>31</v>
      </c>
      <c r="F114" s="7" t="s">
        <v>116</v>
      </c>
      <c r="G114" s="9">
        <v>10</v>
      </c>
      <c r="H114" s="10">
        <v>650</v>
      </c>
      <c r="I114" s="11">
        <v>0.1</v>
      </c>
      <c r="J114" s="10">
        <f t="shared" si="4"/>
        <v>6500</v>
      </c>
      <c r="K114" s="10">
        <f t="shared" si="5"/>
        <v>5850</v>
      </c>
      <c r="L114" s="10">
        <v>434.6</v>
      </c>
      <c r="M114" s="10">
        <f t="shared" si="6"/>
        <v>1504</v>
      </c>
      <c r="N114" t="str">
        <f t="shared" si="7"/>
        <v>Meta Cumplida</v>
      </c>
    </row>
    <row r="115" spans="1:14" ht="15" customHeight="1" x14ac:dyDescent="0.25">
      <c r="A115" s="2" t="s">
        <v>239</v>
      </c>
      <c r="B115" s="3" t="s">
        <v>230</v>
      </c>
      <c r="C115" s="2" t="s">
        <v>67</v>
      </c>
      <c r="D115" s="2" t="s">
        <v>23</v>
      </c>
      <c r="E115" s="2" t="s">
        <v>24</v>
      </c>
      <c r="F115" s="2" t="s">
        <v>102</v>
      </c>
      <c r="G115" s="4">
        <v>5</v>
      </c>
      <c r="H115" s="5">
        <v>320</v>
      </c>
      <c r="I115" s="6">
        <v>0.1</v>
      </c>
      <c r="J115" s="5">
        <f t="shared" si="4"/>
        <v>1600</v>
      </c>
      <c r="K115" s="5">
        <f t="shared" si="5"/>
        <v>1440</v>
      </c>
      <c r="L115" s="5">
        <v>223.52</v>
      </c>
      <c r="M115" s="5">
        <f t="shared" si="6"/>
        <v>322.39999999999986</v>
      </c>
      <c r="N115" t="str">
        <f t="shared" si="7"/>
        <v>Meta No Alcanzada</v>
      </c>
    </row>
    <row r="116" spans="1:14" ht="15" customHeight="1" x14ac:dyDescent="0.25">
      <c r="A116" s="7" t="s">
        <v>240</v>
      </c>
      <c r="B116" s="8" t="s">
        <v>241</v>
      </c>
      <c r="C116" s="7" t="s">
        <v>22</v>
      </c>
      <c r="D116" s="7" t="s">
        <v>59</v>
      </c>
      <c r="E116" s="7" t="s">
        <v>24</v>
      </c>
      <c r="F116" s="7" t="s">
        <v>25</v>
      </c>
      <c r="G116" s="9">
        <v>2</v>
      </c>
      <c r="H116" s="10">
        <v>180</v>
      </c>
      <c r="I116" s="11">
        <v>0</v>
      </c>
      <c r="J116" s="10">
        <f t="shared" si="4"/>
        <v>360</v>
      </c>
      <c r="K116" s="10">
        <f t="shared" si="5"/>
        <v>360</v>
      </c>
      <c r="L116" s="10">
        <v>115.89</v>
      </c>
      <c r="M116" s="10">
        <f t="shared" si="6"/>
        <v>128.22</v>
      </c>
      <c r="N116" t="str">
        <f t="shared" si="7"/>
        <v>Meta No Alcanzada</v>
      </c>
    </row>
    <row r="117" spans="1:14" ht="15" customHeight="1" x14ac:dyDescent="0.25">
      <c r="A117" s="2" t="s">
        <v>242</v>
      </c>
      <c r="B117" s="3" t="s">
        <v>243</v>
      </c>
      <c r="C117" s="2" t="s">
        <v>80</v>
      </c>
      <c r="D117" s="2" t="s">
        <v>28</v>
      </c>
      <c r="E117" s="2" t="s">
        <v>18</v>
      </c>
      <c r="F117" s="2" t="s">
        <v>53</v>
      </c>
      <c r="G117" s="4">
        <v>9</v>
      </c>
      <c r="H117" s="5">
        <v>2200</v>
      </c>
      <c r="I117" s="6">
        <v>0</v>
      </c>
      <c r="J117" s="5">
        <f t="shared" si="4"/>
        <v>19800</v>
      </c>
      <c r="K117" s="5">
        <f t="shared" si="5"/>
        <v>19800</v>
      </c>
      <c r="L117" s="5">
        <v>1261.6600000000001</v>
      </c>
      <c r="M117" s="5">
        <f t="shared" si="6"/>
        <v>8445.06</v>
      </c>
      <c r="N117" t="str">
        <f t="shared" si="7"/>
        <v>Meta Cumplida</v>
      </c>
    </row>
    <row r="118" spans="1:14" ht="15" customHeight="1" x14ac:dyDescent="0.25">
      <c r="A118" s="7" t="s">
        <v>244</v>
      </c>
      <c r="B118" s="8" t="s">
        <v>245</v>
      </c>
      <c r="C118" s="7" t="s">
        <v>35</v>
      </c>
      <c r="D118" s="7" t="s">
        <v>48</v>
      </c>
      <c r="E118" s="7" t="s">
        <v>36</v>
      </c>
      <c r="F118" s="7" t="s">
        <v>170</v>
      </c>
      <c r="G118" s="9">
        <v>4</v>
      </c>
      <c r="H118" s="10">
        <v>480</v>
      </c>
      <c r="I118" s="11">
        <v>0</v>
      </c>
      <c r="J118" s="10">
        <f t="shared" si="4"/>
        <v>1920</v>
      </c>
      <c r="K118" s="10">
        <f t="shared" si="5"/>
        <v>1920</v>
      </c>
      <c r="L118" s="10">
        <v>314.89999999999998</v>
      </c>
      <c r="M118" s="10">
        <f t="shared" si="6"/>
        <v>660.40000000000009</v>
      </c>
      <c r="N118" t="str">
        <f t="shared" si="7"/>
        <v>Meta No Alcanzada</v>
      </c>
    </row>
    <row r="119" spans="1:14" ht="15" customHeight="1" x14ac:dyDescent="0.25">
      <c r="A119" s="2" t="s">
        <v>246</v>
      </c>
      <c r="B119" s="3" t="s">
        <v>247</v>
      </c>
      <c r="C119" s="2" t="s">
        <v>16</v>
      </c>
      <c r="D119" s="2" t="s">
        <v>28</v>
      </c>
      <c r="E119" s="2" t="s">
        <v>36</v>
      </c>
      <c r="F119" s="2" t="s">
        <v>72</v>
      </c>
      <c r="G119" s="4">
        <v>15</v>
      </c>
      <c r="H119" s="5">
        <v>350</v>
      </c>
      <c r="I119" s="6">
        <v>0</v>
      </c>
      <c r="J119" s="5">
        <f t="shared" si="4"/>
        <v>5250</v>
      </c>
      <c r="K119" s="5">
        <f t="shared" si="5"/>
        <v>5250</v>
      </c>
      <c r="L119" s="5">
        <v>233.86</v>
      </c>
      <c r="M119" s="5">
        <f t="shared" si="6"/>
        <v>1742.1</v>
      </c>
      <c r="N119" t="str">
        <f t="shared" si="7"/>
        <v>Meta Cumplida</v>
      </c>
    </row>
    <row r="120" spans="1:14" ht="15" customHeight="1" x14ac:dyDescent="0.25">
      <c r="A120" s="7" t="s">
        <v>248</v>
      </c>
      <c r="B120" s="8" t="s">
        <v>241</v>
      </c>
      <c r="C120" s="7" t="s">
        <v>67</v>
      </c>
      <c r="D120" s="7" t="s">
        <v>48</v>
      </c>
      <c r="E120" s="7" t="s">
        <v>24</v>
      </c>
      <c r="F120" s="7" t="s">
        <v>62</v>
      </c>
      <c r="G120" s="9">
        <v>9</v>
      </c>
      <c r="H120" s="10">
        <v>220</v>
      </c>
      <c r="I120" s="11">
        <v>0</v>
      </c>
      <c r="J120" s="10">
        <f t="shared" si="4"/>
        <v>1980</v>
      </c>
      <c r="K120" s="10">
        <f t="shared" si="5"/>
        <v>1980</v>
      </c>
      <c r="L120" s="10">
        <v>142.37</v>
      </c>
      <c r="M120" s="10">
        <f t="shared" si="6"/>
        <v>698.67000000000007</v>
      </c>
      <c r="N120" t="str">
        <f t="shared" si="7"/>
        <v>Meta No Alcanzada</v>
      </c>
    </row>
    <row r="121" spans="1:14" ht="15" customHeight="1" x14ac:dyDescent="0.25">
      <c r="A121" s="2" t="s">
        <v>249</v>
      </c>
      <c r="B121" s="3" t="s">
        <v>250</v>
      </c>
      <c r="C121" s="2" t="s">
        <v>44</v>
      </c>
      <c r="D121" s="2" t="s">
        <v>28</v>
      </c>
      <c r="E121" s="2" t="s">
        <v>31</v>
      </c>
      <c r="F121" s="2" t="s">
        <v>116</v>
      </c>
      <c r="G121" s="4">
        <v>13</v>
      </c>
      <c r="H121" s="5">
        <v>650</v>
      </c>
      <c r="I121" s="6">
        <v>0</v>
      </c>
      <c r="J121" s="5">
        <f t="shared" si="4"/>
        <v>8450</v>
      </c>
      <c r="K121" s="5">
        <f t="shared" si="5"/>
        <v>8450</v>
      </c>
      <c r="L121" s="5">
        <v>415.52</v>
      </c>
      <c r="M121" s="5">
        <f t="shared" si="6"/>
        <v>3048.24</v>
      </c>
      <c r="N121" t="str">
        <f t="shared" si="7"/>
        <v>Meta Cumplida</v>
      </c>
    </row>
    <row r="122" spans="1:14" ht="15" customHeight="1" x14ac:dyDescent="0.25">
      <c r="A122" s="7" t="s">
        <v>251</v>
      </c>
      <c r="B122" s="8" t="s">
        <v>252</v>
      </c>
      <c r="C122" s="7" t="s">
        <v>67</v>
      </c>
      <c r="D122" s="7" t="s">
        <v>48</v>
      </c>
      <c r="E122" s="7" t="s">
        <v>24</v>
      </c>
      <c r="F122" s="7" t="s">
        <v>69</v>
      </c>
      <c r="G122" s="9">
        <v>8</v>
      </c>
      <c r="H122" s="10">
        <v>95</v>
      </c>
      <c r="I122" s="11">
        <v>0.15</v>
      </c>
      <c r="J122" s="10">
        <f t="shared" si="4"/>
        <v>760</v>
      </c>
      <c r="K122" s="10">
        <f t="shared" si="5"/>
        <v>646</v>
      </c>
      <c r="L122" s="10">
        <v>56.58</v>
      </c>
      <c r="M122" s="10">
        <f t="shared" si="6"/>
        <v>193.36</v>
      </c>
      <c r="N122" t="str">
        <f t="shared" si="7"/>
        <v>Meta No Alcanzada</v>
      </c>
    </row>
    <row r="123" spans="1:14" ht="15" customHeight="1" x14ac:dyDescent="0.25">
      <c r="A123" s="2" t="s">
        <v>253</v>
      </c>
      <c r="B123" s="3" t="s">
        <v>254</v>
      </c>
      <c r="C123" s="2" t="s">
        <v>67</v>
      </c>
      <c r="D123" s="2" t="s">
        <v>48</v>
      </c>
      <c r="E123" s="2" t="s">
        <v>49</v>
      </c>
      <c r="F123" s="2" t="s">
        <v>65</v>
      </c>
      <c r="G123" s="4">
        <v>10</v>
      </c>
      <c r="H123" s="5">
        <v>220</v>
      </c>
      <c r="I123" s="6">
        <v>0</v>
      </c>
      <c r="J123" s="5">
        <f t="shared" si="4"/>
        <v>2200</v>
      </c>
      <c r="K123" s="5">
        <f t="shared" si="5"/>
        <v>2200</v>
      </c>
      <c r="L123" s="5">
        <v>150.35</v>
      </c>
      <c r="M123" s="5">
        <f t="shared" si="6"/>
        <v>696.5</v>
      </c>
      <c r="N123" t="str">
        <f t="shared" si="7"/>
        <v>Meta No Alcanzada</v>
      </c>
    </row>
    <row r="124" spans="1:14" ht="15" customHeight="1" x14ac:dyDescent="0.25">
      <c r="A124" s="7" t="s">
        <v>255</v>
      </c>
      <c r="B124" s="8" t="s">
        <v>228</v>
      </c>
      <c r="C124" s="7" t="s">
        <v>44</v>
      </c>
      <c r="D124" s="7" t="s">
        <v>48</v>
      </c>
      <c r="E124" s="7" t="s">
        <v>49</v>
      </c>
      <c r="F124" s="7" t="s">
        <v>127</v>
      </c>
      <c r="G124" s="9">
        <v>4</v>
      </c>
      <c r="H124" s="10">
        <v>180</v>
      </c>
      <c r="I124" s="11">
        <v>0.15</v>
      </c>
      <c r="J124" s="10">
        <f t="shared" si="4"/>
        <v>720</v>
      </c>
      <c r="K124" s="10">
        <f t="shared" si="5"/>
        <v>612</v>
      </c>
      <c r="L124" s="10">
        <v>121.57</v>
      </c>
      <c r="M124" s="10">
        <f t="shared" si="6"/>
        <v>125.72000000000003</v>
      </c>
      <c r="N124" t="str">
        <f t="shared" si="7"/>
        <v>Meta No Alcanzada</v>
      </c>
    </row>
    <row r="125" spans="1:14" ht="15" customHeight="1" x14ac:dyDescent="0.25">
      <c r="A125" s="2" t="s">
        <v>256</v>
      </c>
      <c r="B125" s="3" t="s">
        <v>257</v>
      </c>
      <c r="C125" s="2" t="s">
        <v>16</v>
      </c>
      <c r="D125" s="2" t="s">
        <v>17</v>
      </c>
      <c r="E125" s="2" t="s">
        <v>24</v>
      </c>
      <c r="F125" s="2" t="s">
        <v>25</v>
      </c>
      <c r="G125" s="4">
        <v>10</v>
      </c>
      <c r="H125" s="5">
        <v>180</v>
      </c>
      <c r="I125" s="6">
        <v>0</v>
      </c>
      <c r="J125" s="5">
        <f t="shared" si="4"/>
        <v>1800</v>
      </c>
      <c r="K125" s="5">
        <f t="shared" si="5"/>
        <v>1800</v>
      </c>
      <c r="L125" s="5">
        <v>119.6</v>
      </c>
      <c r="M125" s="5">
        <f t="shared" si="6"/>
        <v>604</v>
      </c>
      <c r="N125" t="str">
        <f t="shared" si="7"/>
        <v>Meta No Alcanzada</v>
      </c>
    </row>
    <row r="126" spans="1:14" ht="15" customHeight="1" x14ac:dyDescent="0.25">
      <c r="A126" s="7" t="s">
        <v>258</v>
      </c>
      <c r="B126" s="8" t="s">
        <v>259</v>
      </c>
      <c r="C126" s="7" t="s">
        <v>35</v>
      </c>
      <c r="D126" s="7" t="s">
        <v>28</v>
      </c>
      <c r="E126" s="7" t="s">
        <v>36</v>
      </c>
      <c r="F126" s="7" t="s">
        <v>170</v>
      </c>
      <c r="G126" s="9">
        <v>10</v>
      </c>
      <c r="H126" s="10">
        <v>480</v>
      </c>
      <c r="I126" s="11">
        <v>0.05</v>
      </c>
      <c r="J126" s="10">
        <f t="shared" si="4"/>
        <v>4800</v>
      </c>
      <c r="K126" s="10">
        <f t="shared" si="5"/>
        <v>4560</v>
      </c>
      <c r="L126" s="10">
        <v>309.7</v>
      </c>
      <c r="M126" s="10">
        <f t="shared" si="6"/>
        <v>1463</v>
      </c>
      <c r="N126" t="str">
        <f t="shared" si="7"/>
        <v>Meta No Alcanzada</v>
      </c>
    </row>
    <row r="127" spans="1:14" ht="15" customHeight="1" x14ac:dyDescent="0.25">
      <c r="A127" s="2" t="s">
        <v>260</v>
      </c>
      <c r="B127" s="3" t="s">
        <v>261</v>
      </c>
      <c r="C127" s="2" t="s">
        <v>35</v>
      </c>
      <c r="D127" s="2" t="s">
        <v>23</v>
      </c>
      <c r="E127" s="2" t="s">
        <v>18</v>
      </c>
      <c r="F127" s="2" t="s">
        <v>45</v>
      </c>
      <c r="G127" s="4">
        <v>6</v>
      </c>
      <c r="H127" s="5">
        <v>2100</v>
      </c>
      <c r="I127" s="6">
        <v>0</v>
      </c>
      <c r="J127" s="5">
        <f t="shared" si="4"/>
        <v>12600</v>
      </c>
      <c r="K127" s="5">
        <f t="shared" si="5"/>
        <v>12600</v>
      </c>
      <c r="L127" s="5">
        <v>1366.09</v>
      </c>
      <c r="M127" s="5">
        <f t="shared" si="6"/>
        <v>4403.4600000000009</v>
      </c>
      <c r="N127" t="str">
        <f t="shared" si="7"/>
        <v>Meta Cumplida</v>
      </c>
    </row>
    <row r="128" spans="1:14" ht="15" customHeight="1" x14ac:dyDescent="0.25">
      <c r="A128" s="7" t="s">
        <v>262</v>
      </c>
      <c r="B128" s="8" t="s">
        <v>252</v>
      </c>
      <c r="C128" s="7" t="s">
        <v>67</v>
      </c>
      <c r="D128" s="7" t="s">
        <v>59</v>
      </c>
      <c r="E128" s="7" t="s">
        <v>31</v>
      </c>
      <c r="F128" s="7" t="s">
        <v>56</v>
      </c>
      <c r="G128" s="9">
        <v>8</v>
      </c>
      <c r="H128" s="10">
        <v>1200</v>
      </c>
      <c r="I128" s="11">
        <v>0</v>
      </c>
      <c r="J128" s="10">
        <f t="shared" si="4"/>
        <v>9600</v>
      </c>
      <c r="K128" s="10">
        <f t="shared" si="5"/>
        <v>9600</v>
      </c>
      <c r="L128" s="10">
        <v>779.27</v>
      </c>
      <c r="M128" s="10">
        <f t="shared" si="6"/>
        <v>3365.84</v>
      </c>
      <c r="N128" t="str">
        <f t="shared" si="7"/>
        <v>Meta Cumplida</v>
      </c>
    </row>
    <row r="129" spans="1:14" ht="15" customHeight="1" x14ac:dyDescent="0.25">
      <c r="A129" s="2" t="s">
        <v>263</v>
      </c>
      <c r="B129" s="3" t="s">
        <v>264</v>
      </c>
      <c r="C129" s="2" t="s">
        <v>67</v>
      </c>
      <c r="D129" s="2" t="s">
        <v>48</v>
      </c>
      <c r="E129" s="2" t="s">
        <v>24</v>
      </c>
      <c r="F129" s="2" t="s">
        <v>25</v>
      </c>
      <c r="G129" s="4">
        <v>6</v>
      </c>
      <c r="H129" s="5">
        <v>180</v>
      </c>
      <c r="I129" s="6">
        <v>0</v>
      </c>
      <c r="J129" s="5">
        <f t="shared" si="4"/>
        <v>1080</v>
      </c>
      <c r="K129" s="5">
        <f t="shared" si="5"/>
        <v>1080</v>
      </c>
      <c r="L129" s="5">
        <v>107.73</v>
      </c>
      <c r="M129" s="5">
        <f t="shared" si="6"/>
        <v>433.62</v>
      </c>
      <c r="N129" t="str">
        <f t="shared" si="7"/>
        <v>Meta No Alcanzada</v>
      </c>
    </row>
    <row r="130" spans="1:14" ht="15" customHeight="1" x14ac:dyDescent="0.25">
      <c r="A130" s="7" t="s">
        <v>265</v>
      </c>
      <c r="B130" s="8" t="s">
        <v>266</v>
      </c>
      <c r="C130" s="7" t="s">
        <v>16</v>
      </c>
      <c r="D130" s="7" t="s">
        <v>40</v>
      </c>
      <c r="E130" s="7" t="s">
        <v>24</v>
      </c>
      <c r="F130" s="7" t="s">
        <v>25</v>
      </c>
      <c r="G130" s="9">
        <v>8</v>
      </c>
      <c r="H130" s="10">
        <v>180</v>
      </c>
      <c r="I130" s="11">
        <v>0.05</v>
      </c>
      <c r="J130" s="10">
        <f t="shared" si="4"/>
        <v>1440</v>
      </c>
      <c r="K130" s="10">
        <f t="shared" si="5"/>
        <v>1368</v>
      </c>
      <c r="L130" s="10">
        <v>100.46</v>
      </c>
      <c r="M130" s="10">
        <f t="shared" si="6"/>
        <v>564.32000000000005</v>
      </c>
      <c r="N130" t="str">
        <f t="shared" si="7"/>
        <v>Meta No Alcanzada</v>
      </c>
    </row>
    <row r="131" spans="1:14" ht="15" customHeight="1" x14ac:dyDescent="0.25">
      <c r="A131" s="2" t="s">
        <v>267</v>
      </c>
      <c r="B131" s="3" t="s">
        <v>268</v>
      </c>
      <c r="C131" s="2" t="s">
        <v>16</v>
      </c>
      <c r="D131" s="2" t="s">
        <v>23</v>
      </c>
      <c r="E131" s="2" t="s">
        <v>49</v>
      </c>
      <c r="F131" s="2" t="s">
        <v>65</v>
      </c>
      <c r="G131" s="4">
        <v>13</v>
      </c>
      <c r="H131" s="5">
        <v>220</v>
      </c>
      <c r="I131" s="6">
        <v>0</v>
      </c>
      <c r="J131" s="5">
        <f t="shared" ref="J131:J194" si="8">G131*H131</f>
        <v>2860</v>
      </c>
      <c r="K131" s="5">
        <f t="shared" ref="K131:K194" si="9">J131*(1-I131)</f>
        <v>2860</v>
      </c>
      <c r="L131" s="5">
        <v>127.72</v>
      </c>
      <c r="M131" s="5">
        <f t="shared" ref="M131:M194" si="10">K131-G131*L131</f>
        <v>1199.6400000000001</v>
      </c>
      <c r="N131" t="str">
        <f t="shared" si="7"/>
        <v>Meta No Alcanzada</v>
      </c>
    </row>
    <row r="132" spans="1:14" ht="15" customHeight="1" x14ac:dyDescent="0.25">
      <c r="A132" s="7" t="s">
        <v>269</v>
      </c>
      <c r="B132" s="8" t="s">
        <v>270</v>
      </c>
      <c r="C132" s="7" t="s">
        <v>67</v>
      </c>
      <c r="D132" s="7" t="s">
        <v>59</v>
      </c>
      <c r="E132" s="7" t="s">
        <v>31</v>
      </c>
      <c r="F132" s="7" t="s">
        <v>56</v>
      </c>
      <c r="G132" s="9">
        <v>8</v>
      </c>
      <c r="H132" s="10">
        <v>1200</v>
      </c>
      <c r="I132" s="11">
        <v>0</v>
      </c>
      <c r="J132" s="10">
        <f t="shared" si="8"/>
        <v>9600</v>
      </c>
      <c r="K132" s="10">
        <f t="shared" si="9"/>
        <v>9600</v>
      </c>
      <c r="L132" s="10">
        <v>665.2</v>
      </c>
      <c r="M132" s="10">
        <f t="shared" si="10"/>
        <v>4278.3999999999996</v>
      </c>
      <c r="N132" t="str">
        <f t="shared" ref="N132:N195" si="11">IF(K132&gt;=5000,"Meta Cumplida","Meta No Alcanzada")</f>
        <v>Meta Cumplida</v>
      </c>
    </row>
    <row r="133" spans="1:14" ht="15" customHeight="1" x14ac:dyDescent="0.25">
      <c r="A133" s="2" t="s">
        <v>271</v>
      </c>
      <c r="B133" s="3" t="s">
        <v>272</v>
      </c>
      <c r="C133" s="2" t="s">
        <v>16</v>
      </c>
      <c r="D133" s="2" t="s">
        <v>28</v>
      </c>
      <c r="E133" s="2" t="s">
        <v>24</v>
      </c>
      <c r="F133" s="2" t="s">
        <v>62</v>
      </c>
      <c r="G133" s="4">
        <v>5</v>
      </c>
      <c r="H133" s="5">
        <v>220</v>
      </c>
      <c r="I133" s="6">
        <v>0.1</v>
      </c>
      <c r="J133" s="5">
        <f t="shared" si="8"/>
        <v>1100</v>
      </c>
      <c r="K133" s="5">
        <f t="shared" si="9"/>
        <v>990</v>
      </c>
      <c r="L133" s="5">
        <v>121.45</v>
      </c>
      <c r="M133" s="5">
        <f t="shared" si="10"/>
        <v>382.75</v>
      </c>
      <c r="N133" t="str">
        <f t="shared" si="11"/>
        <v>Meta No Alcanzada</v>
      </c>
    </row>
    <row r="134" spans="1:14" ht="15" customHeight="1" x14ac:dyDescent="0.25">
      <c r="A134" s="7" t="s">
        <v>273</v>
      </c>
      <c r="B134" s="8" t="s">
        <v>274</v>
      </c>
      <c r="C134" s="7" t="s">
        <v>44</v>
      </c>
      <c r="D134" s="7" t="s">
        <v>23</v>
      </c>
      <c r="E134" s="7" t="s">
        <v>18</v>
      </c>
      <c r="F134" s="7" t="s">
        <v>53</v>
      </c>
      <c r="G134" s="9">
        <v>2</v>
      </c>
      <c r="H134" s="10">
        <v>2200</v>
      </c>
      <c r="I134" s="11">
        <v>0.15</v>
      </c>
      <c r="J134" s="10">
        <f t="shared" si="8"/>
        <v>4400</v>
      </c>
      <c r="K134" s="10">
        <f t="shared" si="9"/>
        <v>3740</v>
      </c>
      <c r="L134" s="10">
        <v>1484.61</v>
      </c>
      <c r="M134" s="10">
        <f t="shared" si="10"/>
        <v>770.7800000000002</v>
      </c>
      <c r="N134" t="str">
        <f t="shared" si="11"/>
        <v>Meta No Alcanzada</v>
      </c>
    </row>
    <row r="135" spans="1:14" ht="15" customHeight="1" x14ac:dyDescent="0.25">
      <c r="A135" s="2" t="s">
        <v>275</v>
      </c>
      <c r="B135" s="3" t="s">
        <v>276</v>
      </c>
      <c r="C135" s="2" t="s">
        <v>67</v>
      </c>
      <c r="D135" s="2" t="s">
        <v>23</v>
      </c>
      <c r="E135" s="2" t="s">
        <v>49</v>
      </c>
      <c r="F135" s="2" t="s">
        <v>127</v>
      </c>
      <c r="G135" s="4">
        <v>8</v>
      </c>
      <c r="H135" s="5">
        <v>180</v>
      </c>
      <c r="I135" s="6">
        <v>0</v>
      </c>
      <c r="J135" s="5">
        <f t="shared" si="8"/>
        <v>1440</v>
      </c>
      <c r="K135" s="5">
        <f t="shared" si="9"/>
        <v>1440</v>
      </c>
      <c r="L135" s="5">
        <v>111.33</v>
      </c>
      <c r="M135" s="5">
        <f t="shared" si="10"/>
        <v>549.36</v>
      </c>
      <c r="N135" t="str">
        <f t="shared" si="11"/>
        <v>Meta No Alcanzada</v>
      </c>
    </row>
    <row r="136" spans="1:14" ht="15" customHeight="1" x14ac:dyDescent="0.25">
      <c r="A136" s="7" t="s">
        <v>277</v>
      </c>
      <c r="B136" s="8" t="s">
        <v>278</v>
      </c>
      <c r="C136" s="7" t="s">
        <v>22</v>
      </c>
      <c r="D136" s="7" t="s">
        <v>40</v>
      </c>
      <c r="E136" s="7" t="s">
        <v>36</v>
      </c>
      <c r="F136" s="7" t="s">
        <v>150</v>
      </c>
      <c r="G136" s="9">
        <v>12</v>
      </c>
      <c r="H136" s="10">
        <v>90</v>
      </c>
      <c r="I136" s="11">
        <v>0</v>
      </c>
      <c r="J136" s="10">
        <f t="shared" si="8"/>
        <v>1080</v>
      </c>
      <c r="K136" s="10">
        <f t="shared" si="9"/>
        <v>1080</v>
      </c>
      <c r="L136" s="10">
        <v>61.16</v>
      </c>
      <c r="M136" s="10">
        <f t="shared" si="10"/>
        <v>346.08000000000004</v>
      </c>
      <c r="N136" t="str">
        <f t="shared" si="11"/>
        <v>Meta No Alcanzada</v>
      </c>
    </row>
    <row r="137" spans="1:14" ht="15" customHeight="1" x14ac:dyDescent="0.25">
      <c r="A137" s="2" t="s">
        <v>279</v>
      </c>
      <c r="B137" s="3" t="s">
        <v>280</v>
      </c>
      <c r="C137" s="2" t="s">
        <v>22</v>
      </c>
      <c r="D137" s="2" t="s">
        <v>17</v>
      </c>
      <c r="E137" s="2" t="s">
        <v>36</v>
      </c>
      <c r="F137" s="2" t="s">
        <v>37</v>
      </c>
      <c r="G137" s="4">
        <v>14</v>
      </c>
      <c r="H137" s="5">
        <v>1800</v>
      </c>
      <c r="I137" s="6">
        <v>0</v>
      </c>
      <c r="J137" s="5">
        <f t="shared" si="8"/>
        <v>25200</v>
      </c>
      <c r="K137" s="5">
        <f t="shared" si="9"/>
        <v>25200</v>
      </c>
      <c r="L137" s="5">
        <v>1066.3699999999999</v>
      </c>
      <c r="M137" s="5">
        <f t="shared" si="10"/>
        <v>10270.820000000002</v>
      </c>
      <c r="N137" t="str">
        <f t="shared" si="11"/>
        <v>Meta Cumplida</v>
      </c>
    </row>
    <row r="138" spans="1:14" ht="15" customHeight="1" x14ac:dyDescent="0.25">
      <c r="A138" s="7" t="s">
        <v>281</v>
      </c>
      <c r="B138" s="8" t="s">
        <v>268</v>
      </c>
      <c r="C138" s="7" t="s">
        <v>80</v>
      </c>
      <c r="D138" s="7" t="s">
        <v>23</v>
      </c>
      <c r="E138" s="7" t="s">
        <v>24</v>
      </c>
      <c r="F138" s="7" t="s">
        <v>102</v>
      </c>
      <c r="G138" s="9">
        <v>9</v>
      </c>
      <c r="H138" s="10">
        <v>320</v>
      </c>
      <c r="I138" s="11">
        <v>0.05</v>
      </c>
      <c r="J138" s="10">
        <f t="shared" si="8"/>
        <v>2880</v>
      </c>
      <c r="K138" s="10">
        <f t="shared" si="9"/>
        <v>2736</v>
      </c>
      <c r="L138" s="10">
        <v>192.57</v>
      </c>
      <c r="M138" s="10">
        <f t="shared" si="10"/>
        <v>1002.8700000000001</v>
      </c>
      <c r="N138" t="str">
        <f t="shared" si="11"/>
        <v>Meta No Alcanzada</v>
      </c>
    </row>
    <row r="139" spans="1:14" ht="15" customHeight="1" x14ac:dyDescent="0.25">
      <c r="A139" s="2" t="s">
        <v>282</v>
      </c>
      <c r="B139" s="3" t="s">
        <v>283</v>
      </c>
      <c r="C139" s="2" t="s">
        <v>67</v>
      </c>
      <c r="D139" s="2" t="s">
        <v>17</v>
      </c>
      <c r="E139" s="2" t="s">
        <v>24</v>
      </c>
      <c r="F139" s="2" t="s">
        <v>102</v>
      </c>
      <c r="G139" s="4">
        <v>14</v>
      </c>
      <c r="H139" s="5">
        <v>320</v>
      </c>
      <c r="I139" s="6">
        <v>0</v>
      </c>
      <c r="J139" s="5">
        <f t="shared" si="8"/>
        <v>4480</v>
      </c>
      <c r="K139" s="5">
        <f t="shared" si="9"/>
        <v>4480</v>
      </c>
      <c r="L139" s="5">
        <v>223.08</v>
      </c>
      <c r="M139" s="5">
        <f t="shared" si="10"/>
        <v>1356.8799999999997</v>
      </c>
      <c r="N139" t="str">
        <f t="shared" si="11"/>
        <v>Meta No Alcanzada</v>
      </c>
    </row>
    <row r="140" spans="1:14" ht="15" customHeight="1" x14ac:dyDescent="0.25">
      <c r="A140" s="7" t="s">
        <v>284</v>
      </c>
      <c r="B140" s="8" t="s">
        <v>285</v>
      </c>
      <c r="C140" s="7" t="s">
        <v>80</v>
      </c>
      <c r="D140" s="7" t="s">
        <v>23</v>
      </c>
      <c r="E140" s="7" t="s">
        <v>24</v>
      </c>
      <c r="F140" s="7" t="s">
        <v>102</v>
      </c>
      <c r="G140" s="9">
        <v>1</v>
      </c>
      <c r="H140" s="10">
        <v>320</v>
      </c>
      <c r="I140" s="11">
        <v>0</v>
      </c>
      <c r="J140" s="10">
        <f t="shared" si="8"/>
        <v>320</v>
      </c>
      <c r="K140" s="10">
        <f t="shared" si="9"/>
        <v>320</v>
      </c>
      <c r="L140" s="10">
        <v>211.75</v>
      </c>
      <c r="M140" s="10">
        <f t="shared" si="10"/>
        <v>108.25</v>
      </c>
      <c r="N140" t="str">
        <f t="shared" si="11"/>
        <v>Meta No Alcanzada</v>
      </c>
    </row>
    <row r="141" spans="1:14" ht="15" customHeight="1" x14ac:dyDescent="0.25">
      <c r="A141" s="2" t="s">
        <v>286</v>
      </c>
      <c r="B141" s="3" t="s">
        <v>276</v>
      </c>
      <c r="C141" s="2" t="s">
        <v>16</v>
      </c>
      <c r="D141" s="2" t="s">
        <v>59</v>
      </c>
      <c r="E141" s="2" t="s">
        <v>36</v>
      </c>
      <c r="F141" s="2" t="s">
        <v>170</v>
      </c>
      <c r="G141" s="4">
        <v>3</v>
      </c>
      <c r="H141" s="5">
        <v>480</v>
      </c>
      <c r="I141" s="6">
        <v>0.05</v>
      </c>
      <c r="J141" s="5">
        <f t="shared" si="8"/>
        <v>1440</v>
      </c>
      <c r="K141" s="5">
        <f t="shared" si="9"/>
        <v>1368</v>
      </c>
      <c r="L141" s="5">
        <v>333.47</v>
      </c>
      <c r="M141" s="5">
        <f t="shared" si="10"/>
        <v>367.58999999999992</v>
      </c>
      <c r="N141" t="str">
        <f t="shared" si="11"/>
        <v>Meta No Alcanzada</v>
      </c>
    </row>
    <row r="142" spans="1:14" ht="15" customHeight="1" x14ac:dyDescent="0.25">
      <c r="A142" s="7" t="s">
        <v>287</v>
      </c>
      <c r="B142" s="8" t="s">
        <v>288</v>
      </c>
      <c r="C142" s="7" t="s">
        <v>44</v>
      </c>
      <c r="D142" s="7" t="s">
        <v>23</v>
      </c>
      <c r="E142" s="7" t="s">
        <v>24</v>
      </c>
      <c r="F142" s="7" t="s">
        <v>69</v>
      </c>
      <c r="G142" s="9">
        <v>2</v>
      </c>
      <c r="H142" s="10">
        <v>95</v>
      </c>
      <c r="I142" s="11">
        <v>0.1</v>
      </c>
      <c r="J142" s="10">
        <f t="shared" si="8"/>
        <v>190</v>
      </c>
      <c r="K142" s="10">
        <f t="shared" si="9"/>
        <v>171</v>
      </c>
      <c r="L142" s="10">
        <v>65.22</v>
      </c>
      <c r="M142" s="10">
        <f t="shared" si="10"/>
        <v>40.56</v>
      </c>
      <c r="N142" t="str">
        <f t="shared" si="11"/>
        <v>Meta No Alcanzada</v>
      </c>
    </row>
    <row r="143" spans="1:14" ht="15" customHeight="1" x14ac:dyDescent="0.25">
      <c r="A143" s="2" t="s">
        <v>289</v>
      </c>
      <c r="B143" s="3" t="s">
        <v>278</v>
      </c>
      <c r="C143" s="2" t="s">
        <v>16</v>
      </c>
      <c r="D143" s="2" t="s">
        <v>28</v>
      </c>
      <c r="E143" s="2" t="s">
        <v>31</v>
      </c>
      <c r="F143" s="2" t="s">
        <v>32</v>
      </c>
      <c r="G143" s="4">
        <v>2</v>
      </c>
      <c r="H143" s="5">
        <v>480</v>
      </c>
      <c r="I143" s="6">
        <v>0.05</v>
      </c>
      <c r="J143" s="5">
        <f t="shared" si="8"/>
        <v>960</v>
      </c>
      <c r="K143" s="5">
        <f t="shared" si="9"/>
        <v>912</v>
      </c>
      <c r="L143" s="5">
        <v>320.27</v>
      </c>
      <c r="M143" s="5">
        <f t="shared" si="10"/>
        <v>271.46000000000004</v>
      </c>
      <c r="N143" t="str">
        <f t="shared" si="11"/>
        <v>Meta No Alcanzada</v>
      </c>
    </row>
    <row r="144" spans="1:14" ht="15" customHeight="1" x14ac:dyDescent="0.25">
      <c r="A144" s="7" t="s">
        <v>290</v>
      </c>
      <c r="B144" s="8" t="s">
        <v>291</v>
      </c>
      <c r="C144" s="7" t="s">
        <v>16</v>
      </c>
      <c r="D144" s="7" t="s">
        <v>48</v>
      </c>
      <c r="E144" s="7" t="s">
        <v>49</v>
      </c>
      <c r="F144" s="7" t="s">
        <v>65</v>
      </c>
      <c r="G144" s="9">
        <v>14</v>
      </c>
      <c r="H144" s="10">
        <v>220</v>
      </c>
      <c r="I144" s="11">
        <v>0</v>
      </c>
      <c r="J144" s="10">
        <f t="shared" si="8"/>
        <v>3080</v>
      </c>
      <c r="K144" s="10">
        <f t="shared" si="9"/>
        <v>3080</v>
      </c>
      <c r="L144" s="10">
        <v>149.13</v>
      </c>
      <c r="M144" s="10">
        <f t="shared" si="10"/>
        <v>992.18000000000029</v>
      </c>
      <c r="N144" t="str">
        <f t="shared" si="11"/>
        <v>Meta No Alcanzada</v>
      </c>
    </row>
    <row r="145" spans="1:14" ht="15" customHeight="1" x14ac:dyDescent="0.25">
      <c r="A145" s="2" t="s">
        <v>292</v>
      </c>
      <c r="B145" s="3" t="s">
        <v>293</v>
      </c>
      <c r="C145" s="2" t="s">
        <v>35</v>
      </c>
      <c r="D145" s="2" t="s">
        <v>59</v>
      </c>
      <c r="E145" s="2" t="s">
        <v>24</v>
      </c>
      <c r="F145" s="2" t="s">
        <v>102</v>
      </c>
      <c r="G145" s="4">
        <v>12</v>
      </c>
      <c r="H145" s="5">
        <v>320</v>
      </c>
      <c r="I145" s="6">
        <v>0.05</v>
      </c>
      <c r="J145" s="5">
        <f t="shared" si="8"/>
        <v>3840</v>
      </c>
      <c r="K145" s="5">
        <f t="shared" si="9"/>
        <v>3648</v>
      </c>
      <c r="L145" s="5">
        <v>217.87</v>
      </c>
      <c r="M145" s="5">
        <f t="shared" si="10"/>
        <v>1033.56</v>
      </c>
      <c r="N145" t="str">
        <f t="shared" si="11"/>
        <v>Meta No Alcanzada</v>
      </c>
    </row>
    <row r="146" spans="1:14" ht="15" customHeight="1" x14ac:dyDescent="0.25">
      <c r="A146" s="7" t="s">
        <v>294</v>
      </c>
      <c r="B146" s="8" t="s">
        <v>295</v>
      </c>
      <c r="C146" s="7" t="s">
        <v>80</v>
      </c>
      <c r="D146" s="7" t="s">
        <v>59</v>
      </c>
      <c r="E146" s="7" t="s">
        <v>24</v>
      </c>
      <c r="F146" s="7" t="s">
        <v>25</v>
      </c>
      <c r="G146" s="9">
        <v>11</v>
      </c>
      <c r="H146" s="10">
        <v>180</v>
      </c>
      <c r="I146" s="11">
        <v>0</v>
      </c>
      <c r="J146" s="10">
        <f t="shared" si="8"/>
        <v>1980</v>
      </c>
      <c r="K146" s="10">
        <f t="shared" si="9"/>
        <v>1980</v>
      </c>
      <c r="L146" s="10">
        <v>125.93</v>
      </c>
      <c r="M146" s="10">
        <f t="shared" si="10"/>
        <v>594.77</v>
      </c>
      <c r="N146" t="str">
        <f t="shared" si="11"/>
        <v>Meta No Alcanzada</v>
      </c>
    </row>
    <row r="147" spans="1:14" ht="15" customHeight="1" x14ac:dyDescent="0.25">
      <c r="A147" s="2" t="s">
        <v>296</v>
      </c>
      <c r="B147" s="3" t="s">
        <v>285</v>
      </c>
      <c r="C147" s="2" t="s">
        <v>44</v>
      </c>
      <c r="D147" s="2" t="s">
        <v>59</v>
      </c>
      <c r="E147" s="2" t="s">
        <v>18</v>
      </c>
      <c r="F147" s="2" t="s">
        <v>45</v>
      </c>
      <c r="G147" s="4">
        <v>12</v>
      </c>
      <c r="H147" s="5">
        <v>2100</v>
      </c>
      <c r="I147" s="6">
        <v>0</v>
      </c>
      <c r="J147" s="5">
        <f t="shared" si="8"/>
        <v>25200</v>
      </c>
      <c r="K147" s="5">
        <f t="shared" si="9"/>
        <v>25200</v>
      </c>
      <c r="L147" s="5">
        <v>1294.76</v>
      </c>
      <c r="M147" s="5">
        <f t="shared" si="10"/>
        <v>9662.880000000001</v>
      </c>
      <c r="N147" t="str">
        <f t="shared" si="11"/>
        <v>Meta Cumplida</v>
      </c>
    </row>
    <row r="148" spans="1:14" ht="15" customHeight="1" x14ac:dyDescent="0.25">
      <c r="A148" s="7" t="s">
        <v>297</v>
      </c>
      <c r="B148" s="8" t="s">
        <v>298</v>
      </c>
      <c r="C148" s="7" t="s">
        <v>44</v>
      </c>
      <c r="D148" s="7" t="s">
        <v>17</v>
      </c>
      <c r="E148" s="7" t="s">
        <v>49</v>
      </c>
      <c r="F148" s="7" t="s">
        <v>93</v>
      </c>
      <c r="G148" s="9">
        <v>13</v>
      </c>
      <c r="H148" s="10">
        <v>120</v>
      </c>
      <c r="I148" s="11">
        <v>0</v>
      </c>
      <c r="J148" s="10">
        <f t="shared" si="8"/>
        <v>1560</v>
      </c>
      <c r="K148" s="10">
        <f t="shared" si="9"/>
        <v>1560</v>
      </c>
      <c r="L148" s="10">
        <v>71.28</v>
      </c>
      <c r="M148" s="10">
        <f t="shared" si="10"/>
        <v>633.36</v>
      </c>
      <c r="N148" t="str">
        <f t="shared" si="11"/>
        <v>Meta No Alcanzada</v>
      </c>
    </row>
    <row r="149" spans="1:14" ht="15" customHeight="1" x14ac:dyDescent="0.25">
      <c r="A149" s="2" t="s">
        <v>299</v>
      </c>
      <c r="B149" s="3" t="s">
        <v>300</v>
      </c>
      <c r="C149" s="2" t="s">
        <v>80</v>
      </c>
      <c r="D149" s="2" t="s">
        <v>40</v>
      </c>
      <c r="E149" s="2" t="s">
        <v>36</v>
      </c>
      <c r="F149" s="2" t="s">
        <v>150</v>
      </c>
      <c r="G149" s="4">
        <v>7</v>
      </c>
      <c r="H149" s="5">
        <v>90</v>
      </c>
      <c r="I149" s="6">
        <v>0.1</v>
      </c>
      <c r="J149" s="5">
        <f t="shared" si="8"/>
        <v>630</v>
      </c>
      <c r="K149" s="5">
        <f t="shared" si="9"/>
        <v>567</v>
      </c>
      <c r="L149" s="5">
        <v>58.7</v>
      </c>
      <c r="M149" s="5">
        <f t="shared" si="10"/>
        <v>156.09999999999997</v>
      </c>
      <c r="N149" t="str">
        <f t="shared" si="11"/>
        <v>Meta No Alcanzada</v>
      </c>
    </row>
    <row r="150" spans="1:14" ht="15" customHeight="1" x14ac:dyDescent="0.25">
      <c r="A150" s="7" t="s">
        <v>301</v>
      </c>
      <c r="B150" s="8" t="s">
        <v>283</v>
      </c>
      <c r="C150" s="7" t="s">
        <v>44</v>
      </c>
      <c r="D150" s="7" t="s">
        <v>40</v>
      </c>
      <c r="E150" s="7" t="s">
        <v>31</v>
      </c>
      <c r="F150" s="7" t="s">
        <v>90</v>
      </c>
      <c r="G150" s="9">
        <v>14</v>
      </c>
      <c r="H150" s="10">
        <v>850</v>
      </c>
      <c r="I150" s="11">
        <v>0.05</v>
      </c>
      <c r="J150" s="10">
        <f t="shared" si="8"/>
        <v>11900</v>
      </c>
      <c r="K150" s="10">
        <f t="shared" si="9"/>
        <v>11305</v>
      </c>
      <c r="L150" s="10">
        <v>546.51</v>
      </c>
      <c r="M150" s="10">
        <f t="shared" si="10"/>
        <v>3653.8600000000006</v>
      </c>
      <c r="N150" t="str">
        <f t="shared" si="11"/>
        <v>Meta Cumplida</v>
      </c>
    </row>
    <row r="151" spans="1:14" ht="15" customHeight="1" x14ac:dyDescent="0.25">
      <c r="A151" s="2" t="s">
        <v>302</v>
      </c>
      <c r="B151" s="3" t="s">
        <v>303</v>
      </c>
      <c r="C151" s="2" t="s">
        <v>80</v>
      </c>
      <c r="D151" s="2" t="s">
        <v>23</v>
      </c>
      <c r="E151" s="2" t="s">
        <v>36</v>
      </c>
      <c r="F151" s="2" t="s">
        <v>150</v>
      </c>
      <c r="G151" s="4">
        <v>11</v>
      </c>
      <c r="H151" s="5">
        <v>90</v>
      </c>
      <c r="I151" s="6">
        <v>0</v>
      </c>
      <c r="J151" s="5">
        <f t="shared" si="8"/>
        <v>990</v>
      </c>
      <c r="K151" s="5">
        <f t="shared" si="9"/>
        <v>990</v>
      </c>
      <c r="L151" s="5">
        <v>55.7</v>
      </c>
      <c r="M151" s="5">
        <f t="shared" si="10"/>
        <v>377.29999999999995</v>
      </c>
      <c r="N151" t="str">
        <f t="shared" si="11"/>
        <v>Meta No Alcanzada</v>
      </c>
    </row>
    <row r="152" spans="1:14" ht="15" customHeight="1" x14ac:dyDescent="0.25">
      <c r="A152" s="7" t="s">
        <v>304</v>
      </c>
      <c r="B152" s="8" t="s">
        <v>298</v>
      </c>
      <c r="C152" s="7" t="s">
        <v>35</v>
      </c>
      <c r="D152" s="7" t="s">
        <v>59</v>
      </c>
      <c r="E152" s="7" t="s">
        <v>18</v>
      </c>
      <c r="F152" s="7" t="s">
        <v>45</v>
      </c>
      <c r="G152" s="9">
        <v>9</v>
      </c>
      <c r="H152" s="10">
        <v>2100</v>
      </c>
      <c r="I152" s="11">
        <v>0</v>
      </c>
      <c r="J152" s="10">
        <f t="shared" si="8"/>
        <v>18900</v>
      </c>
      <c r="K152" s="10">
        <f t="shared" si="9"/>
        <v>18900</v>
      </c>
      <c r="L152" s="10">
        <v>1178.27</v>
      </c>
      <c r="M152" s="10">
        <f t="shared" si="10"/>
        <v>8295.57</v>
      </c>
      <c r="N152" t="str">
        <f t="shared" si="11"/>
        <v>Meta Cumplida</v>
      </c>
    </row>
    <row r="153" spans="1:14" ht="15" customHeight="1" x14ac:dyDescent="0.25">
      <c r="A153" s="2" t="s">
        <v>305</v>
      </c>
      <c r="B153" s="3" t="s">
        <v>280</v>
      </c>
      <c r="C153" s="2" t="s">
        <v>16</v>
      </c>
      <c r="D153" s="2" t="s">
        <v>23</v>
      </c>
      <c r="E153" s="2" t="s">
        <v>24</v>
      </c>
      <c r="F153" s="2" t="s">
        <v>69</v>
      </c>
      <c r="G153" s="4">
        <v>12</v>
      </c>
      <c r="H153" s="5">
        <v>95</v>
      </c>
      <c r="I153" s="6">
        <v>0</v>
      </c>
      <c r="J153" s="5">
        <f t="shared" si="8"/>
        <v>1140</v>
      </c>
      <c r="K153" s="5">
        <f t="shared" si="9"/>
        <v>1140</v>
      </c>
      <c r="L153" s="5">
        <v>58.76</v>
      </c>
      <c r="M153" s="5">
        <f t="shared" si="10"/>
        <v>434.88</v>
      </c>
      <c r="N153" t="str">
        <f t="shared" si="11"/>
        <v>Meta No Alcanzada</v>
      </c>
    </row>
    <row r="154" spans="1:14" ht="15" customHeight="1" x14ac:dyDescent="0.25">
      <c r="A154" s="7" t="s">
        <v>306</v>
      </c>
      <c r="B154" s="8" t="s">
        <v>307</v>
      </c>
      <c r="C154" s="7" t="s">
        <v>44</v>
      </c>
      <c r="D154" s="7" t="s">
        <v>28</v>
      </c>
      <c r="E154" s="7" t="s">
        <v>36</v>
      </c>
      <c r="F154" s="7" t="s">
        <v>170</v>
      </c>
      <c r="G154" s="9">
        <v>7</v>
      </c>
      <c r="H154" s="10">
        <v>480</v>
      </c>
      <c r="I154" s="11">
        <v>0.1</v>
      </c>
      <c r="J154" s="10">
        <f t="shared" si="8"/>
        <v>3360</v>
      </c>
      <c r="K154" s="10">
        <f t="shared" si="9"/>
        <v>3024</v>
      </c>
      <c r="L154" s="10">
        <v>289.85000000000002</v>
      </c>
      <c r="M154" s="10">
        <f t="shared" si="10"/>
        <v>995.04999999999973</v>
      </c>
      <c r="N154" t="str">
        <f t="shared" si="11"/>
        <v>Meta No Alcanzada</v>
      </c>
    </row>
    <row r="155" spans="1:14" ht="15" customHeight="1" x14ac:dyDescent="0.25">
      <c r="A155" s="2" t="s">
        <v>308</v>
      </c>
      <c r="B155" s="3" t="s">
        <v>309</v>
      </c>
      <c r="C155" s="2" t="s">
        <v>16</v>
      </c>
      <c r="D155" s="2" t="s">
        <v>23</v>
      </c>
      <c r="E155" s="2" t="s">
        <v>49</v>
      </c>
      <c r="F155" s="2" t="s">
        <v>93</v>
      </c>
      <c r="G155" s="4">
        <v>5</v>
      </c>
      <c r="H155" s="5">
        <v>120</v>
      </c>
      <c r="I155" s="6">
        <v>0</v>
      </c>
      <c r="J155" s="5">
        <f t="shared" si="8"/>
        <v>600</v>
      </c>
      <c r="K155" s="5">
        <f t="shared" si="9"/>
        <v>600</v>
      </c>
      <c r="L155" s="5">
        <v>76.19</v>
      </c>
      <c r="M155" s="5">
        <f t="shared" si="10"/>
        <v>219.05</v>
      </c>
      <c r="N155" t="str">
        <f t="shared" si="11"/>
        <v>Meta No Alcanzada</v>
      </c>
    </row>
    <row r="156" spans="1:14" ht="15" customHeight="1" x14ac:dyDescent="0.25">
      <c r="A156" s="7" t="s">
        <v>310</v>
      </c>
      <c r="B156" s="8" t="s">
        <v>311</v>
      </c>
      <c r="C156" s="7" t="s">
        <v>35</v>
      </c>
      <c r="D156" s="7" t="s">
        <v>28</v>
      </c>
      <c r="E156" s="7" t="s">
        <v>18</v>
      </c>
      <c r="F156" s="7" t="s">
        <v>45</v>
      </c>
      <c r="G156" s="9">
        <v>10</v>
      </c>
      <c r="H156" s="10">
        <v>2100</v>
      </c>
      <c r="I156" s="11">
        <v>0</v>
      </c>
      <c r="J156" s="10">
        <f t="shared" si="8"/>
        <v>21000</v>
      </c>
      <c r="K156" s="10">
        <f t="shared" si="9"/>
        <v>21000</v>
      </c>
      <c r="L156" s="10">
        <v>1223.99</v>
      </c>
      <c r="M156" s="10">
        <f t="shared" si="10"/>
        <v>8760.1</v>
      </c>
      <c r="N156" t="str">
        <f t="shared" si="11"/>
        <v>Meta Cumplida</v>
      </c>
    </row>
    <row r="157" spans="1:14" ht="15" customHeight="1" x14ac:dyDescent="0.25">
      <c r="A157" s="2" t="s">
        <v>312</v>
      </c>
      <c r="B157" s="3" t="s">
        <v>313</v>
      </c>
      <c r="C157" s="2" t="s">
        <v>16</v>
      </c>
      <c r="D157" s="2" t="s">
        <v>59</v>
      </c>
      <c r="E157" s="2" t="s">
        <v>24</v>
      </c>
      <c r="F157" s="2" t="s">
        <v>69</v>
      </c>
      <c r="G157" s="4">
        <v>13</v>
      </c>
      <c r="H157" s="5">
        <v>95</v>
      </c>
      <c r="I157" s="6">
        <v>0.15</v>
      </c>
      <c r="J157" s="5">
        <f t="shared" si="8"/>
        <v>1235</v>
      </c>
      <c r="K157" s="5">
        <f t="shared" si="9"/>
        <v>1049.75</v>
      </c>
      <c r="L157" s="5">
        <v>61.95</v>
      </c>
      <c r="M157" s="5">
        <f t="shared" si="10"/>
        <v>244.39999999999998</v>
      </c>
      <c r="N157" t="str">
        <f t="shared" si="11"/>
        <v>Meta No Alcanzada</v>
      </c>
    </row>
    <row r="158" spans="1:14" ht="15" customHeight="1" x14ac:dyDescent="0.25">
      <c r="A158" s="7" t="s">
        <v>314</v>
      </c>
      <c r="B158" s="8" t="s">
        <v>313</v>
      </c>
      <c r="C158" s="7" t="s">
        <v>35</v>
      </c>
      <c r="D158" s="7" t="s">
        <v>23</v>
      </c>
      <c r="E158" s="7" t="s">
        <v>18</v>
      </c>
      <c r="F158" s="7" t="s">
        <v>19</v>
      </c>
      <c r="G158" s="9">
        <v>1</v>
      </c>
      <c r="H158" s="10">
        <v>2500</v>
      </c>
      <c r="I158" s="11">
        <v>0.1</v>
      </c>
      <c r="J158" s="10">
        <f t="shared" si="8"/>
        <v>2500</v>
      </c>
      <c r="K158" s="10">
        <f t="shared" si="9"/>
        <v>2250</v>
      </c>
      <c r="L158" s="10">
        <v>1511.82</v>
      </c>
      <c r="M158" s="10">
        <f t="shared" si="10"/>
        <v>738.18000000000006</v>
      </c>
      <c r="N158" t="str">
        <f t="shared" si="11"/>
        <v>Meta No Alcanzada</v>
      </c>
    </row>
    <row r="159" spans="1:14" ht="15" customHeight="1" x14ac:dyDescent="0.25">
      <c r="A159" s="2" t="s">
        <v>315</v>
      </c>
      <c r="B159" s="3" t="s">
        <v>316</v>
      </c>
      <c r="C159" s="2" t="s">
        <v>35</v>
      </c>
      <c r="D159" s="2" t="s">
        <v>59</v>
      </c>
      <c r="E159" s="2" t="s">
        <v>18</v>
      </c>
      <c r="F159" s="2" t="s">
        <v>41</v>
      </c>
      <c r="G159" s="4">
        <v>7</v>
      </c>
      <c r="H159" s="5">
        <v>2800</v>
      </c>
      <c r="I159" s="6">
        <v>0</v>
      </c>
      <c r="J159" s="5">
        <f t="shared" si="8"/>
        <v>19600</v>
      </c>
      <c r="K159" s="5">
        <f t="shared" si="9"/>
        <v>19600</v>
      </c>
      <c r="L159" s="5">
        <v>1624.33</v>
      </c>
      <c r="M159" s="5">
        <f t="shared" si="10"/>
        <v>8229.69</v>
      </c>
      <c r="N159" t="str">
        <f t="shared" si="11"/>
        <v>Meta Cumplida</v>
      </c>
    </row>
    <row r="160" spans="1:14" ht="15" customHeight="1" x14ac:dyDescent="0.25">
      <c r="A160" s="7" t="s">
        <v>317</v>
      </c>
      <c r="B160" s="8" t="s">
        <v>318</v>
      </c>
      <c r="C160" s="7" t="s">
        <v>22</v>
      </c>
      <c r="D160" s="7" t="s">
        <v>40</v>
      </c>
      <c r="E160" s="7" t="s">
        <v>24</v>
      </c>
      <c r="F160" s="7" t="s">
        <v>69</v>
      </c>
      <c r="G160" s="9">
        <v>15</v>
      </c>
      <c r="H160" s="10">
        <v>95</v>
      </c>
      <c r="I160" s="11">
        <v>0</v>
      </c>
      <c r="J160" s="10">
        <f t="shared" si="8"/>
        <v>1425</v>
      </c>
      <c r="K160" s="10">
        <f t="shared" si="9"/>
        <v>1425</v>
      </c>
      <c r="L160" s="10">
        <v>64.08</v>
      </c>
      <c r="M160" s="10">
        <f t="shared" si="10"/>
        <v>463.80000000000007</v>
      </c>
      <c r="N160" t="str">
        <f t="shared" si="11"/>
        <v>Meta No Alcanzada</v>
      </c>
    </row>
    <row r="161" spans="1:14" ht="15" customHeight="1" x14ac:dyDescent="0.25">
      <c r="A161" s="2" t="s">
        <v>319</v>
      </c>
      <c r="B161" s="3" t="s">
        <v>320</v>
      </c>
      <c r="C161" s="2" t="s">
        <v>16</v>
      </c>
      <c r="D161" s="2" t="s">
        <v>17</v>
      </c>
      <c r="E161" s="2" t="s">
        <v>36</v>
      </c>
      <c r="F161" s="2" t="s">
        <v>37</v>
      </c>
      <c r="G161" s="4">
        <v>13</v>
      </c>
      <c r="H161" s="5">
        <v>1800</v>
      </c>
      <c r="I161" s="6">
        <v>0</v>
      </c>
      <c r="J161" s="5">
        <f t="shared" si="8"/>
        <v>23400</v>
      </c>
      <c r="K161" s="5">
        <f t="shared" si="9"/>
        <v>23400</v>
      </c>
      <c r="L161" s="5">
        <v>1116.45</v>
      </c>
      <c r="M161" s="5">
        <f t="shared" si="10"/>
        <v>8886.15</v>
      </c>
      <c r="N161" t="str">
        <f t="shared" si="11"/>
        <v>Meta Cumplida</v>
      </c>
    </row>
    <row r="162" spans="1:14" ht="15" customHeight="1" x14ac:dyDescent="0.25">
      <c r="A162" s="7" t="s">
        <v>321</v>
      </c>
      <c r="B162" s="8" t="s">
        <v>316</v>
      </c>
      <c r="C162" s="7" t="s">
        <v>16</v>
      </c>
      <c r="D162" s="7" t="s">
        <v>59</v>
      </c>
      <c r="E162" s="7" t="s">
        <v>31</v>
      </c>
      <c r="F162" s="7" t="s">
        <v>90</v>
      </c>
      <c r="G162" s="9">
        <v>11</v>
      </c>
      <c r="H162" s="10">
        <v>850</v>
      </c>
      <c r="I162" s="11">
        <v>0.05</v>
      </c>
      <c r="J162" s="10">
        <f t="shared" si="8"/>
        <v>9350</v>
      </c>
      <c r="K162" s="10">
        <f t="shared" si="9"/>
        <v>8882.5</v>
      </c>
      <c r="L162" s="10">
        <v>590.83000000000004</v>
      </c>
      <c r="M162" s="10">
        <f t="shared" si="10"/>
        <v>2383.37</v>
      </c>
      <c r="N162" t="str">
        <f t="shared" si="11"/>
        <v>Meta Cumplida</v>
      </c>
    </row>
    <row r="163" spans="1:14" ht="15" customHeight="1" x14ac:dyDescent="0.25">
      <c r="A163" s="2" t="s">
        <v>322</v>
      </c>
      <c r="B163" s="3" t="s">
        <v>323</v>
      </c>
      <c r="C163" s="2" t="s">
        <v>44</v>
      </c>
      <c r="D163" s="2" t="s">
        <v>23</v>
      </c>
      <c r="E163" s="2" t="s">
        <v>24</v>
      </c>
      <c r="F163" s="2" t="s">
        <v>69</v>
      </c>
      <c r="G163" s="4">
        <v>1</v>
      </c>
      <c r="H163" s="5">
        <v>95</v>
      </c>
      <c r="I163" s="6">
        <v>0</v>
      </c>
      <c r="J163" s="5">
        <f t="shared" si="8"/>
        <v>95</v>
      </c>
      <c r="K163" s="5">
        <f t="shared" si="9"/>
        <v>95</v>
      </c>
      <c r="L163" s="5">
        <v>59.9</v>
      </c>
      <c r="M163" s="5">
        <f t="shared" si="10"/>
        <v>35.1</v>
      </c>
      <c r="N163" t="str">
        <f t="shared" si="11"/>
        <v>Meta No Alcanzada</v>
      </c>
    </row>
    <row r="164" spans="1:14" ht="15" customHeight="1" x14ac:dyDescent="0.25">
      <c r="A164" s="7" t="s">
        <v>324</v>
      </c>
      <c r="B164" s="8" t="s">
        <v>325</v>
      </c>
      <c r="C164" s="7" t="s">
        <v>22</v>
      </c>
      <c r="D164" s="7" t="s">
        <v>23</v>
      </c>
      <c r="E164" s="7" t="s">
        <v>49</v>
      </c>
      <c r="F164" s="7" t="s">
        <v>127</v>
      </c>
      <c r="G164" s="9">
        <v>14</v>
      </c>
      <c r="H164" s="10">
        <v>180</v>
      </c>
      <c r="I164" s="11">
        <v>0.15</v>
      </c>
      <c r="J164" s="10">
        <f t="shared" si="8"/>
        <v>2520</v>
      </c>
      <c r="K164" s="10">
        <f t="shared" si="9"/>
        <v>2142</v>
      </c>
      <c r="L164" s="10">
        <v>124.39</v>
      </c>
      <c r="M164" s="10">
        <f t="shared" si="10"/>
        <v>400.53999999999996</v>
      </c>
      <c r="N164" t="str">
        <f t="shared" si="11"/>
        <v>Meta No Alcanzada</v>
      </c>
    </row>
    <row r="165" spans="1:14" ht="15" customHeight="1" x14ac:dyDescent="0.25">
      <c r="A165" s="2" t="s">
        <v>326</v>
      </c>
      <c r="B165" s="3" t="s">
        <v>327</v>
      </c>
      <c r="C165" s="2" t="s">
        <v>44</v>
      </c>
      <c r="D165" s="2" t="s">
        <v>40</v>
      </c>
      <c r="E165" s="2" t="s">
        <v>31</v>
      </c>
      <c r="F165" s="2" t="s">
        <v>32</v>
      </c>
      <c r="G165" s="4">
        <v>15</v>
      </c>
      <c r="H165" s="5">
        <v>480</v>
      </c>
      <c r="I165" s="6">
        <v>0.1</v>
      </c>
      <c r="J165" s="5">
        <f t="shared" si="8"/>
        <v>7200</v>
      </c>
      <c r="K165" s="5">
        <f t="shared" si="9"/>
        <v>6480</v>
      </c>
      <c r="L165" s="5">
        <v>287.62</v>
      </c>
      <c r="M165" s="5">
        <f t="shared" si="10"/>
        <v>2165.6999999999998</v>
      </c>
      <c r="N165" t="str">
        <f t="shared" si="11"/>
        <v>Meta Cumplida</v>
      </c>
    </row>
    <row r="166" spans="1:14" ht="15" customHeight="1" x14ac:dyDescent="0.25">
      <c r="A166" s="7" t="s">
        <v>328</v>
      </c>
      <c r="B166" s="8" t="s">
        <v>329</v>
      </c>
      <c r="C166" s="7" t="s">
        <v>16</v>
      </c>
      <c r="D166" s="7" t="s">
        <v>23</v>
      </c>
      <c r="E166" s="7" t="s">
        <v>31</v>
      </c>
      <c r="F166" s="7" t="s">
        <v>116</v>
      </c>
      <c r="G166" s="9">
        <v>15</v>
      </c>
      <c r="H166" s="10">
        <v>650</v>
      </c>
      <c r="I166" s="11">
        <v>0.15</v>
      </c>
      <c r="J166" s="10">
        <f t="shared" si="8"/>
        <v>9750</v>
      </c>
      <c r="K166" s="10">
        <f t="shared" si="9"/>
        <v>8287.5</v>
      </c>
      <c r="L166" s="10">
        <v>386.96</v>
      </c>
      <c r="M166" s="10">
        <f t="shared" si="10"/>
        <v>2483.1000000000004</v>
      </c>
      <c r="N166" t="str">
        <f t="shared" si="11"/>
        <v>Meta Cumplida</v>
      </c>
    </row>
    <row r="167" spans="1:14" ht="15" customHeight="1" x14ac:dyDescent="0.25">
      <c r="A167" s="2" t="s">
        <v>330</v>
      </c>
      <c r="B167" s="3" t="s">
        <v>331</v>
      </c>
      <c r="C167" s="2" t="s">
        <v>44</v>
      </c>
      <c r="D167" s="2" t="s">
        <v>48</v>
      </c>
      <c r="E167" s="2" t="s">
        <v>18</v>
      </c>
      <c r="F167" s="2" t="s">
        <v>53</v>
      </c>
      <c r="G167" s="4">
        <v>5</v>
      </c>
      <c r="H167" s="5">
        <v>2200</v>
      </c>
      <c r="I167" s="6">
        <v>0.05</v>
      </c>
      <c r="J167" s="5">
        <f t="shared" si="8"/>
        <v>11000</v>
      </c>
      <c r="K167" s="5">
        <f t="shared" si="9"/>
        <v>10450</v>
      </c>
      <c r="L167" s="5">
        <v>1248.32</v>
      </c>
      <c r="M167" s="5">
        <f t="shared" si="10"/>
        <v>4208.4000000000005</v>
      </c>
      <c r="N167" t="str">
        <f t="shared" si="11"/>
        <v>Meta Cumplida</v>
      </c>
    </row>
    <row r="168" spans="1:14" ht="15" customHeight="1" x14ac:dyDescent="0.25">
      <c r="A168" s="7" t="s">
        <v>332</v>
      </c>
      <c r="B168" s="8" t="s">
        <v>333</v>
      </c>
      <c r="C168" s="7" t="s">
        <v>67</v>
      </c>
      <c r="D168" s="7" t="s">
        <v>23</v>
      </c>
      <c r="E168" s="7" t="s">
        <v>24</v>
      </c>
      <c r="F168" s="7" t="s">
        <v>62</v>
      </c>
      <c r="G168" s="9">
        <v>6</v>
      </c>
      <c r="H168" s="10">
        <v>220</v>
      </c>
      <c r="I168" s="11">
        <v>0.15</v>
      </c>
      <c r="J168" s="10">
        <f t="shared" si="8"/>
        <v>1320</v>
      </c>
      <c r="K168" s="10">
        <f t="shared" si="9"/>
        <v>1122</v>
      </c>
      <c r="L168" s="10">
        <v>152.33000000000001</v>
      </c>
      <c r="M168" s="10">
        <f t="shared" si="10"/>
        <v>208.01999999999998</v>
      </c>
      <c r="N168" t="str">
        <f t="shared" si="11"/>
        <v>Meta No Alcanzada</v>
      </c>
    </row>
    <row r="169" spans="1:14" ht="15" customHeight="1" x14ac:dyDescent="0.25">
      <c r="A169" s="2" t="s">
        <v>334</v>
      </c>
      <c r="B169" s="3" t="s">
        <v>335</v>
      </c>
      <c r="C169" s="2" t="s">
        <v>22</v>
      </c>
      <c r="D169" s="2" t="s">
        <v>59</v>
      </c>
      <c r="E169" s="2" t="s">
        <v>24</v>
      </c>
      <c r="F169" s="2" t="s">
        <v>102</v>
      </c>
      <c r="G169" s="4">
        <v>12</v>
      </c>
      <c r="H169" s="5">
        <v>320</v>
      </c>
      <c r="I169" s="6">
        <v>0</v>
      </c>
      <c r="J169" s="5">
        <f t="shared" si="8"/>
        <v>3840</v>
      </c>
      <c r="K169" s="5">
        <f t="shared" si="9"/>
        <v>3840</v>
      </c>
      <c r="L169" s="5">
        <v>218.5</v>
      </c>
      <c r="M169" s="5">
        <f t="shared" si="10"/>
        <v>1218</v>
      </c>
      <c r="N169" t="str">
        <f t="shared" si="11"/>
        <v>Meta No Alcanzada</v>
      </c>
    </row>
    <row r="170" spans="1:14" ht="15" customHeight="1" x14ac:dyDescent="0.25">
      <c r="A170" s="7" t="s">
        <v>336</v>
      </c>
      <c r="B170" s="8" t="s">
        <v>311</v>
      </c>
      <c r="C170" s="7" t="s">
        <v>22</v>
      </c>
      <c r="D170" s="7" t="s">
        <v>23</v>
      </c>
      <c r="E170" s="7" t="s">
        <v>18</v>
      </c>
      <c r="F170" s="7" t="s">
        <v>45</v>
      </c>
      <c r="G170" s="9">
        <v>5</v>
      </c>
      <c r="H170" s="10">
        <v>2100</v>
      </c>
      <c r="I170" s="11">
        <v>0</v>
      </c>
      <c r="J170" s="10">
        <f t="shared" si="8"/>
        <v>10500</v>
      </c>
      <c r="K170" s="10">
        <f t="shared" si="9"/>
        <v>10500</v>
      </c>
      <c r="L170" s="10">
        <v>1372.44</v>
      </c>
      <c r="M170" s="10">
        <f t="shared" si="10"/>
        <v>3637.7999999999993</v>
      </c>
      <c r="N170" t="str">
        <f t="shared" si="11"/>
        <v>Meta Cumplida</v>
      </c>
    </row>
    <row r="171" spans="1:14" ht="15" customHeight="1" x14ac:dyDescent="0.25">
      <c r="A171" s="2" t="s">
        <v>337</v>
      </c>
      <c r="B171" s="3" t="s">
        <v>335</v>
      </c>
      <c r="C171" s="2" t="s">
        <v>80</v>
      </c>
      <c r="D171" s="2" t="s">
        <v>17</v>
      </c>
      <c r="E171" s="2" t="s">
        <v>36</v>
      </c>
      <c r="F171" s="2" t="s">
        <v>170</v>
      </c>
      <c r="G171" s="4">
        <v>2</v>
      </c>
      <c r="H171" s="5">
        <v>480</v>
      </c>
      <c r="I171" s="6">
        <v>0.15</v>
      </c>
      <c r="J171" s="5">
        <f t="shared" si="8"/>
        <v>960</v>
      </c>
      <c r="K171" s="5">
        <f t="shared" si="9"/>
        <v>816</v>
      </c>
      <c r="L171" s="5">
        <v>290.45</v>
      </c>
      <c r="M171" s="5">
        <f t="shared" si="10"/>
        <v>235.10000000000002</v>
      </c>
      <c r="N171" t="str">
        <f t="shared" si="11"/>
        <v>Meta No Alcanzada</v>
      </c>
    </row>
    <row r="172" spans="1:14" ht="15" customHeight="1" x14ac:dyDescent="0.25">
      <c r="A172" s="7" t="s">
        <v>338</v>
      </c>
      <c r="B172" s="8" t="s">
        <v>339</v>
      </c>
      <c r="C172" s="7" t="s">
        <v>67</v>
      </c>
      <c r="D172" s="7" t="s">
        <v>17</v>
      </c>
      <c r="E172" s="7" t="s">
        <v>49</v>
      </c>
      <c r="F172" s="7" t="s">
        <v>93</v>
      </c>
      <c r="G172" s="9">
        <v>4</v>
      </c>
      <c r="H172" s="10">
        <v>120</v>
      </c>
      <c r="I172" s="11">
        <v>0</v>
      </c>
      <c r="J172" s="10">
        <f t="shared" si="8"/>
        <v>480</v>
      </c>
      <c r="K172" s="10">
        <f t="shared" si="9"/>
        <v>480</v>
      </c>
      <c r="L172" s="10">
        <v>83.08</v>
      </c>
      <c r="M172" s="10">
        <f t="shared" si="10"/>
        <v>147.68</v>
      </c>
      <c r="N172" t="str">
        <f t="shared" si="11"/>
        <v>Meta No Alcanzada</v>
      </c>
    </row>
    <row r="173" spans="1:14" ht="15" customHeight="1" x14ac:dyDescent="0.25">
      <c r="A173" s="2" t="s">
        <v>340</v>
      </c>
      <c r="B173" s="3" t="s">
        <v>341</v>
      </c>
      <c r="C173" s="2" t="s">
        <v>16</v>
      </c>
      <c r="D173" s="2" t="s">
        <v>28</v>
      </c>
      <c r="E173" s="2" t="s">
        <v>36</v>
      </c>
      <c r="F173" s="2" t="s">
        <v>72</v>
      </c>
      <c r="G173" s="4">
        <v>11</v>
      </c>
      <c r="H173" s="5">
        <v>350</v>
      </c>
      <c r="I173" s="6">
        <v>0.15</v>
      </c>
      <c r="J173" s="5">
        <f t="shared" si="8"/>
        <v>3850</v>
      </c>
      <c r="K173" s="5">
        <f t="shared" si="9"/>
        <v>3272.5</v>
      </c>
      <c r="L173" s="5">
        <v>223.85</v>
      </c>
      <c r="M173" s="5">
        <f t="shared" si="10"/>
        <v>810.15000000000009</v>
      </c>
      <c r="N173" t="str">
        <f t="shared" si="11"/>
        <v>Meta No Alcanzada</v>
      </c>
    </row>
    <row r="174" spans="1:14" ht="15" customHeight="1" x14ac:dyDescent="0.25">
      <c r="A174" s="7" t="s">
        <v>342</v>
      </c>
      <c r="B174" s="8" t="s">
        <v>339</v>
      </c>
      <c r="C174" s="7" t="s">
        <v>80</v>
      </c>
      <c r="D174" s="7" t="s">
        <v>28</v>
      </c>
      <c r="E174" s="7" t="s">
        <v>18</v>
      </c>
      <c r="F174" s="7" t="s">
        <v>41</v>
      </c>
      <c r="G174" s="9">
        <v>13</v>
      </c>
      <c r="H174" s="10">
        <v>2800</v>
      </c>
      <c r="I174" s="11">
        <v>0.1</v>
      </c>
      <c r="J174" s="10">
        <f t="shared" si="8"/>
        <v>36400</v>
      </c>
      <c r="K174" s="10">
        <f t="shared" si="9"/>
        <v>32760</v>
      </c>
      <c r="L174" s="10">
        <v>1626.19</v>
      </c>
      <c r="M174" s="10">
        <f t="shared" si="10"/>
        <v>11619.529999999999</v>
      </c>
      <c r="N174" t="str">
        <f t="shared" si="11"/>
        <v>Meta Cumplida</v>
      </c>
    </row>
    <row r="175" spans="1:14" ht="15" customHeight="1" x14ac:dyDescent="0.25">
      <c r="A175" s="2" t="s">
        <v>343</v>
      </c>
      <c r="B175" s="3" t="s">
        <v>344</v>
      </c>
      <c r="C175" s="2" t="s">
        <v>80</v>
      </c>
      <c r="D175" s="2" t="s">
        <v>17</v>
      </c>
      <c r="E175" s="2" t="s">
        <v>31</v>
      </c>
      <c r="F175" s="2" t="s">
        <v>90</v>
      </c>
      <c r="G175" s="4">
        <v>13</v>
      </c>
      <c r="H175" s="5">
        <v>850</v>
      </c>
      <c r="I175" s="6">
        <v>0</v>
      </c>
      <c r="J175" s="5">
        <f t="shared" si="8"/>
        <v>11050</v>
      </c>
      <c r="K175" s="5">
        <f t="shared" si="9"/>
        <v>11050</v>
      </c>
      <c r="L175" s="5">
        <v>568.04999999999995</v>
      </c>
      <c r="M175" s="5">
        <f t="shared" si="10"/>
        <v>3665.3500000000004</v>
      </c>
      <c r="N175" t="str">
        <f t="shared" si="11"/>
        <v>Meta Cumplida</v>
      </c>
    </row>
    <row r="176" spans="1:14" ht="15" customHeight="1" x14ac:dyDescent="0.25">
      <c r="A176" s="7" t="s">
        <v>345</v>
      </c>
      <c r="B176" s="8" t="s">
        <v>346</v>
      </c>
      <c r="C176" s="7" t="s">
        <v>80</v>
      </c>
      <c r="D176" s="7" t="s">
        <v>28</v>
      </c>
      <c r="E176" s="7" t="s">
        <v>18</v>
      </c>
      <c r="F176" s="7" t="s">
        <v>41</v>
      </c>
      <c r="G176" s="9">
        <v>9</v>
      </c>
      <c r="H176" s="10">
        <v>2800</v>
      </c>
      <c r="I176" s="11">
        <v>0</v>
      </c>
      <c r="J176" s="10">
        <f t="shared" si="8"/>
        <v>25200</v>
      </c>
      <c r="K176" s="10">
        <f t="shared" si="9"/>
        <v>25200</v>
      </c>
      <c r="L176" s="10">
        <v>1875.38</v>
      </c>
      <c r="M176" s="10">
        <f t="shared" si="10"/>
        <v>8321.5799999999981</v>
      </c>
      <c r="N176" t="str">
        <f t="shared" si="11"/>
        <v>Meta Cumplida</v>
      </c>
    </row>
    <row r="177" spans="1:14" ht="15" customHeight="1" x14ac:dyDescent="0.25">
      <c r="A177" s="2" t="s">
        <v>347</v>
      </c>
      <c r="B177" s="3" t="s">
        <v>348</v>
      </c>
      <c r="C177" s="2" t="s">
        <v>44</v>
      </c>
      <c r="D177" s="2" t="s">
        <v>17</v>
      </c>
      <c r="E177" s="2" t="s">
        <v>18</v>
      </c>
      <c r="F177" s="2" t="s">
        <v>53</v>
      </c>
      <c r="G177" s="4">
        <v>13</v>
      </c>
      <c r="H177" s="5">
        <v>2200</v>
      </c>
      <c r="I177" s="6">
        <v>0</v>
      </c>
      <c r="J177" s="5">
        <f t="shared" si="8"/>
        <v>28600</v>
      </c>
      <c r="K177" s="5">
        <f t="shared" si="9"/>
        <v>28600</v>
      </c>
      <c r="L177" s="5">
        <v>1404.32</v>
      </c>
      <c r="M177" s="5">
        <f t="shared" si="10"/>
        <v>10343.84</v>
      </c>
      <c r="N177" t="str">
        <f t="shared" si="11"/>
        <v>Meta Cumplida</v>
      </c>
    </row>
    <row r="178" spans="1:14" ht="15" customHeight="1" x14ac:dyDescent="0.25">
      <c r="A178" s="7" t="s">
        <v>349</v>
      </c>
      <c r="B178" s="8" t="s">
        <v>350</v>
      </c>
      <c r="C178" s="7" t="s">
        <v>44</v>
      </c>
      <c r="D178" s="7" t="s">
        <v>28</v>
      </c>
      <c r="E178" s="7" t="s">
        <v>31</v>
      </c>
      <c r="F178" s="7" t="s">
        <v>56</v>
      </c>
      <c r="G178" s="9">
        <v>12</v>
      </c>
      <c r="H178" s="10">
        <v>1200</v>
      </c>
      <c r="I178" s="11">
        <v>0.05</v>
      </c>
      <c r="J178" s="10">
        <f t="shared" si="8"/>
        <v>14400</v>
      </c>
      <c r="K178" s="10">
        <f t="shared" si="9"/>
        <v>13680</v>
      </c>
      <c r="L178" s="10">
        <v>754.7</v>
      </c>
      <c r="M178" s="10">
        <f t="shared" si="10"/>
        <v>4623.5999999999985</v>
      </c>
      <c r="N178" t="str">
        <f t="shared" si="11"/>
        <v>Meta Cumplida</v>
      </c>
    </row>
    <row r="179" spans="1:14" ht="15" customHeight="1" x14ac:dyDescent="0.25">
      <c r="A179" s="2" t="s">
        <v>351</v>
      </c>
      <c r="B179" s="3" t="s">
        <v>352</v>
      </c>
      <c r="C179" s="2" t="s">
        <v>67</v>
      </c>
      <c r="D179" s="2" t="s">
        <v>17</v>
      </c>
      <c r="E179" s="2" t="s">
        <v>18</v>
      </c>
      <c r="F179" s="2" t="s">
        <v>45</v>
      </c>
      <c r="G179" s="4">
        <v>9</v>
      </c>
      <c r="H179" s="5">
        <v>2100</v>
      </c>
      <c r="I179" s="6">
        <v>0.1</v>
      </c>
      <c r="J179" s="5">
        <f t="shared" si="8"/>
        <v>18900</v>
      </c>
      <c r="K179" s="5">
        <f t="shared" si="9"/>
        <v>17010</v>
      </c>
      <c r="L179" s="5">
        <v>1189.3499999999999</v>
      </c>
      <c r="M179" s="5">
        <f t="shared" si="10"/>
        <v>6305.85</v>
      </c>
      <c r="N179" t="str">
        <f t="shared" si="11"/>
        <v>Meta Cumplida</v>
      </c>
    </row>
    <row r="180" spans="1:14" ht="15" customHeight="1" x14ac:dyDescent="0.25">
      <c r="A180" s="7" t="s">
        <v>353</v>
      </c>
      <c r="B180" s="8" t="s">
        <v>348</v>
      </c>
      <c r="C180" s="7" t="s">
        <v>16</v>
      </c>
      <c r="D180" s="7" t="s">
        <v>59</v>
      </c>
      <c r="E180" s="7" t="s">
        <v>31</v>
      </c>
      <c r="F180" s="7" t="s">
        <v>116</v>
      </c>
      <c r="G180" s="9">
        <v>9</v>
      </c>
      <c r="H180" s="10">
        <v>650</v>
      </c>
      <c r="I180" s="11">
        <v>0</v>
      </c>
      <c r="J180" s="10">
        <f t="shared" si="8"/>
        <v>5850</v>
      </c>
      <c r="K180" s="10">
        <f t="shared" si="9"/>
        <v>5850</v>
      </c>
      <c r="L180" s="10">
        <v>402.16</v>
      </c>
      <c r="M180" s="10">
        <f t="shared" si="10"/>
        <v>2230.56</v>
      </c>
      <c r="N180" t="str">
        <f t="shared" si="11"/>
        <v>Meta Cumplida</v>
      </c>
    </row>
    <row r="181" spans="1:14" ht="15" customHeight="1" x14ac:dyDescent="0.25">
      <c r="A181" s="2" t="s">
        <v>354</v>
      </c>
      <c r="B181" s="3" t="s">
        <v>355</v>
      </c>
      <c r="C181" s="2" t="s">
        <v>67</v>
      </c>
      <c r="D181" s="2" t="s">
        <v>23</v>
      </c>
      <c r="E181" s="2" t="s">
        <v>18</v>
      </c>
      <c r="F181" s="2" t="s">
        <v>45</v>
      </c>
      <c r="G181" s="4">
        <v>11</v>
      </c>
      <c r="H181" s="5">
        <v>2100</v>
      </c>
      <c r="I181" s="6">
        <v>0</v>
      </c>
      <c r="J181" s="5">
        <f t="shared" si="8"/>
        <v>23100</v>
      </c>
      <c r="K181" s="5">
        <f t="shared" si="9"/>
        <v>23100</v>
      </c>
      <c r="L181" s="5">
        <v>1309.43</v>
      </c>
      <c r="M181" s="5">
        <f t="shared" si="10"/>
        <v>8696.2699999999986</v>
      </c>
      <c r="N181" t="str">
        <f t="shared" si="11"/>
        <v>Meta Cumplida</v>
      </c>
    </row>
    <row r="182" spans="1:14" ht="15" customHeight="1" x14ac:dyDescent="0.25">
      <c r="A182" s="7" t="s">
        <v>356</v>
      </c>
      <c r="B182" s="8" t="s">
        <v>344</v>
      </c>
      <c r="C182" s="7" t="s">
        <v>35</v>
      </c>
      <c r="D182" s="7" t="s">
        <v>40</v>
      </c>
      <c r="E182" s="7" t="s">
        <v>18</v>
      </c>
      <c r="F182" s="7" t="s">
        <v>19</v>
      </c>
      <c r="G182" s="9">
        <v>3</v>
      </c>
      <c r="H182" s="10">
        <v>2500</v>
      </c>
      <c r="I182" s="11">
        <v>0</v>
      </c>
      <c r="J182" s="10">
        <f t="shared" si="8"/>
        <v>7500</v>
      </c>
      <c r="K182" s="10">
        <f t="shared" si="9"/>
        <v>7500</v>
      </c>
      <c r="L182" s="10">
        <v>1422.32</v>
      </c>
      <c r="M182" s="10">
        <f t="shared" si="10"/>
        <v>3233.04</v>
      </c>
      <c r="N182" t="str">
        <f t="shared" si="11"/>
        <v>Meta Cumplida</v>
      </c>
    </row>
    <row r="183" spans="1:14" ht="15" customHeight="1" x14ac:dyDescent="0.25">
      <c r="A183" s="2" t="s">
        <v>357</v>
      </c>
      <c r="B183" s="3" t="s">
        <v>344</v>
      </c>
      <c r="C183" s="2" t="s">
        <v>67</v>
      </c>
      <c r="D183" s="2" t="s">
        <v>40</v>
      </c>
      <c r="E183" s="2" t="s">
        <v>24</v>
      </c>
      <c r="F183" s="2" t="s">
        <v>69</v>
      </c>
      <c r="G183" s="4">
        <v>9</v>
      </c>
      <c r="H183" s="5">
        <v>95</v>
      </c>
      <c r="I183" s="6">
        <v>0</v>
      </c>
      <c r="J183" s="5">
        <f t="shared" si="8"/>
        <v>855</v>
      </c>
      <c r="K183" s="5">
        <f t="shared" si="9"/>
        <v>855</v>
      </c>
      <c r="L183" s="5">
        <v>58.72</v>
      </c>
      <c r="M183" s="5">
        <f t="shared" si="10"/>
        <v>326.52</v>
      </c>
      <c r="N183" t="str">
        <f t="shared" si="11"/>
        <v>Meta No Alcanzada</v>
      </c>
    </row>
    <row r="184" spans="1:14" ht="15" customHeight="1" x14ac:dyDescent="0.25">
      <c r="A184" s="7" t="s">
        <v>358</v>
      </c>
      <c r="B184" s="8" t="s">
        <v>359</v>
      </c>
      <c r="C184" s="7" t="s">
        <v>16</v>
      </c>
      <c r="D184" s="7" t="s">
        <v>48</v>
      </c>
      <c r="E184" s="7" t="s">
        <v>36</v>
      </c>
      <c r="F184" s="7" t="s">
        <v>72</v>
      </c>
      <c r="G184" s="9">
        <v>14</v>
      </c>
      <c r="H184" s="10">
        <v>350</v>
      </c>
      <c r="I184" s="11">
        <v>0.15</v>
      </c>
      <c r="J184" s="10">
        <f t="shared" si="8"/>
        <v>4900</v>
      </c>
      <c r="K184" s="10">
        <f t="shared" si="9"/>
        <v>4165</v>
      </c>
      <c r="L184" s="10">
        <v>226.67</v>
      </c>
      <c r="M184" s="10">
        <f t="shared" si="10"/>
        <v>991.62000000000035</v>
      </c>
      <c r="N184" t="str">
        <f t="shared" si="11"/>
        <v>Meta No Alcanzada</v>
      </c>
    </row>
    <row r="185" spans="1:14" ht="15" customHeight="1" x14ac:dyDescent="0.25">
      <c r="A185" s="2" t="s">
        <v>360</v>
      </c>
      <c r="B185" s="3" t="s">
        <v>361</v>
      </c>
      <c r="C185" s="2" t="s">
        <v>67</v>
      </c>
      <c r="D185" s="2" t="s">
        <v>23</v>
      </c>
      <c r="E185" s="2" t="s">
        <v>24</v>
      </c>
      <c r="F185" s="2" t="s">
        <v>62</v>
      </c>
      <c r="G185" s="4">
        <v>15</v>
      </c>
      <c r="H185" s="5">
        <v>220</v>
      </c>
      <c r="I185" s="6">
        <v>0</v>
      </c>
      <c r="J185" s="5">
        <f t="shared" si="8"/>
        <v>3300</v>
      </c>
      <c r="K185" s="5">
        <f t="shared" si="9"/>
        <v>3300</v>
      </c>
      <c r="L185" s="5">
        <v>134.66</v>
      </c>
      <c r="M185" s="5">
        <f t="shared" si="10"/>
        <v>1280.1000000000001</v>
      </c>
      <c r="N185" t="str">
        <f t="shared" si="11"/>
        <v>Meta No Alcanzada</v>
      </c>
    </row>
    <row r="186" spans="1:14" ht="15" customHeight="1" x14ac:dyDescent="0.25">
      <c r="A186" s="7" t="s">
        <v>362</v>
      </c>
      <c r="B186" s="8" t="s">
        <v>363</v>
      </c>
      <c r="C186" s="7" t="s">
        <v>67</v>
      </c>
      <c r="D186" s="7" t="s">
        <v>59</v>
      </c>
      <c r="E186" s="7" t="s">
        <v>36</v>
      </c>
      <c r="F186" s="7" t="s">
        <v>170</v>
      </c>
      <c r="G186" s="9">
        <v>2</v>
      </c>
      <c r="H186" s="10">
        <v>480</v>
      </c>
      <c r="I186" s="11">
        <v>0</v>
      </c>
      <c r="J186" s="10">
        <f t="shared" si="8"/>
        <v>960</v>
      </c>
      <c r="K186" s="10">
        <f t="shared" si="9"/>
        <v>960</v>
      </c>
      <c r="L186" s="10">
        <v>294.73</v>
      </c>
      <c r="M186" s="10">
        <f t="shared" si="10"/>
        <v>370.53999999999996</v>
      </c>
      <c r="N186" t="str">
        <f t="shared" si="11"/>
        <v>Meta No Alcanzada</v>
      </c>
    </row>
    <row r="187" spans="1:14" ht="15" customHeight="1" x14ac:dyDescent="0.25">
      <c r="A187" s="2" t="s">
        <v>364</v>
      </c>
      <c r="B187" s="3" t="s">
        <v>361</v>
      </c>
      <c r="C187" s="2" t="s">
        <v>80</v>
      </c>
      <c r="D187" s="2" t="s">
        <v>59</v>
      </c>
      <c r="E187" s="2" t="s">
        <v>49</v>
      </c>
      <c r="F187" s="2" t="s">
        <v>127</v>
      </c>
      <c r="G187" s="4">
        <v>15</v>
      </c>
      <c r="H187" s="5">
        <v>180</v>
      </c>
      <c r="I187" s="6">
        <v>0.05</v>
      </c>
      <c r="J187" s="5">
        <f t="shared" si="8"/>
        <v>2700</v>
      </c>
      <c r="K187" s="5">
        <f t="shared" si="9"/>
        <v>2565</v>
      </c>
      <c r="L187" s="5">
        <v>100.81</v>
      </c>
      <c r="M187" s="5">
        <f t="shared" si="10"/>
        <v>1052.8499999999999</v>
      </c>
      <c r="N187" t="str">
        <f t="shared" si="11"/>
        <v>Meta No Alcanzada</v>
      </c>
    </row>
    <row r="188" spans="1:14" ht="15" customHeight="1" x14ac:dyDescent="0.25">
      <c r="A188" s="7" t="s">
        <v>365</v>
      </c>
      <c r="B188" s="8" t="s">
        <v>366</v>
      </c>
      <c r="C188" s="7" t="s">
        <v>67</v>
      </c>
      <c r="D188" s="7" t="s">
        <v>48</v>
      </c>
      <c r="E188" s="7" t="s">
        <v>18</v>
      </c>
      <c r="F188" s="7" t="s">
        <v>19</v>
      </c>
      <c r="G188" s="9">
        <v>12</v>
      </c>
      <c r="H188" s="10">
        <v>2500</v>
      </c>
      <c r="I188" s="11">
        <v>0.15</v>
      </c>
      <c r="J188" s="10">
        <f t="shared" si="8"/>
        <v>30000</v>
      </c>
      <c r="K188" s="10">
        <f t="shared" si="9"/>
        <v>25500</v>
      </c>
      <c r="L188" s="10">
        <v>1514.74</v>
      </c>
      <c r="M188" s="10">
        <f t="shared" si="10"/>
        <v>7323.119999999999</v>
      </c>
      <c r="N188" t="str">
        <f t="shared" si="11"/>
        <v>Meta Cumplida</v>
      </c>
    </row>
    <row r="189" spans="1:14" ht="15" customHeight="1" x14ac:dyDescent="0.25">
      <c r="A189" s="2" t="s">
        <v>367</v>
      </c>
      <c r="B189" s="3" t="s">
        <v>368</v>
      </c>
      <c r="C189" s="2" t="s">
        <v>22</v>
      </c>
      <c r="D189" s="2" t="s">
        <v>40</v>
      </c>
      <c r="E189" s="2" t="s">
        <v>24</v>
      </c>
      <c r="F189" s="2" t="s">
        <v>25</v>
      </c>
      <c r="G189" s="4">
        <v>9</v>
      </c>
      <c r="H189" s="5">
        <v>180</v>
      </c>
      <c r="I189" s="6">
        <v>0</v>
      </c>
      <c r="J189" s="5">
        <f t="shared" si="8"/>
        <v>1620</v>
      </c>
      <c r="K189" s="5">
        <f t="shared" si="9"/>
        <v>1620</v>
      </c>
      <c r="L189" s="5">
        <v>117.09</v>
      </c>
      <c r="M189" s="5">
        <f t="shared" si="10"/>
        <v>566.19000000000005</v>
      </c>
      <c r="N189" t="str">
        <f t="shared" si="11"/>
        <v>Meta No Alcanzada</v>
      </c>
    </row>
    <row r="190" spans="1:14" ht="15" customHeight="1" x14ac:dyDescent="0.25">
      <c r="A190" s="7" t="s">
        <v>369</v>
      </c>
      <c r="B190" s="8" t="s">
        <v>346</v>
      </c>
      <c r="C190" s="7" t="s">
        <v>16</v>
      </c>
      <c r="D190" s="7" t="s">
        <v>48</v>
      </c>
      <c r="E190" s="7" t="s">
        <v>49</v>
      </c>
      <c r="F190" s="7" t="s">
        <v>65</v>
      </c>
      <c r="G190" s="9">
        <v>5</v>
      </c>
      <c r="H190" s="10">
        <v>220</v>
      </c>
      <c r="I190" s="11">
        <v>0.1</v>
      </c>
      <c r="J190" s="10">
        <f t="shared" si="8"/>
        <v>1100</v>
      </c>
      <c r="K190" s="10">
        <f t="shared" si="9"/>
        <v>990</v>
      </c>
      <c r="L190" s="10">
        <v>131.31</v>
      </c>
      <c r="M190" s="10">
        <f t="shared" si="10"/>
        <v>333.45000000000005</v>
      </c>
      <c r="N190" t="str">
        <f t="shared" si="11"/>
        <v>Meta No Alcanzada</v>
      </c>
    </row>
    <row r="191" spans="1:14" ht="15" customHeight="1" x14ac:dyDescent="0.25">
      <c r="A191" s="2" t="s">
        <v>370</v>
      </c>
      <c r="B191" s="3" t="s">
        <v>371</v>
      </c>
      <c r="C191" s="2" t="s">
        <v>80</v>
      </c>
      <c r="D191" s="2" t="s">
        <v>59</v>
      </c>
      <c r="E191" s="2" t="s">
        <v>24</v>
      </c>
      <c r="F191" s="2" t="s">
        <v>62</v>
      </c>
      <c r="G191" s="4">
        <v>8</v>
      </c>
      <c r="H191" s="5">
        <v>220</v>
      </c>
      <c r="I191" s="6">
        <v>0</v>
      </c>
      <c r="J191" s="5">
        <f t="shared" si="8"/>
        <v>1760</v>
      </c>
      <c r="K191" s="5">
        <f t="shared" si="9"/>
        <v>1760</v>
      </c>
      <c r="L191" s="5">
        <v>148.96</v>
      </c>
      <c r="M191" s="5">
        <f t="shared" si="10"/>
        <v>568.31999999999994</v>
      </c>
      <c r="N191" t="str">
        <f t="shared" si="11"/>
        <v>Meta No Alcanzada</v>
      </c>
    </row>
    <row r="192" spans="1:14" ht="15" customHeight="1" x14ac:dyDescent="0.25">
      <c r="A192" s="7" t="s">
        <v>372</v>
      </c>
      <c r="B192" s="8" t="s">
        <v>373</v>
      </c>
      <c r="C192" s="7" t="s">
        <v>44</v>
      </c>
      <c r="D192" s="7" t="s">
        <v>17</v>
      </c>
      <c r="E192" s="7" t="s">
        <v>24</v>
      </c>
      <c r="F192" s="7" t="s">
        <v>69</v>
      </c>
      <c r="G192" s="9">
        <v>10</v>
      </c>
      <c r="H192" s="10">
        <v>95</v>
      </c>
      <c r="I192" s="11">
        <v>0</v>
      </c>
      <c r="J192" s="10">
        <f t="shared" si="8"/>
        <v>950</v>
      </c>
      <c r="K192" s="10">
        <f t="shared" si="9"/>
        <v>950</v>
      </c>
      <c r="L192" s="10">
        <v>63.75</v>
      </c>
      <c r="M192" s="10">
        <f t="shared" si="10"/>
        <v>312.5</v>
      </c>
      <c r="N192" t="str">
        <f t="shared" si="11"/>
        <v>Meta No Alcanzada</v>
      </c>
    </row>
    <row r="193" spans="1:14" ht="15" customHeight="1" x14ac:dyDescent="0.25">
      <c r="A193" s="2" t="s">
        <v>374</v>
      </c>
      <c r="B193" s="3" t="s">
        <v>375</v>
      </c>
      <c r="C193" s="2" t="s">
        <v>22</v>
      </c>
      <c r="D193" s="2" t="s">
        <v>59</v>
      </c>
      <c r="E193" s="2" t="s">
        <v>24</v>
      </c>
      <c r="F193" s="2" t="s">
        <v>25</v>
      </c>
      <c r="G193" s="4">
        <v>14</v>
      </c>
      <c r="H193" s="5">
        <v>180</v>
      </c>
      <c r="I193" s="6">
        <v>0.15</v>
      </c>
      <c r="J193" s="5">
        <f t="shared" si="8"/>
        <v>2520</v>
      </c>
      <c r="K193" s="5">
        <f t="shared" si="9"/>
        <v>2142</v>
      </c>
      <c r="L193" s="5">
        <v>106.22</v>
      </c>
      <c r="M193" s="5">
        <f t="shared" si="10"/>
        <v>654.92000000000007</v>
      </c>
      <c r="N193" t="str">
        <f t="shared" si="11"/>
        <v>Meta No Alcanzada</v>
      </c>
    </row>
    <row r="194" spans="1:14" ht="15" customHeight="1" x14ac:dyDescent="0.25">
      <c r="A194" s="7" t="s">
        <v>376</v>
      </c>
      <c r="B194" s="8" t="s">
        <v>377</v>
      </c>
      <c r="C194" s="7" t="s">
        <v>35</v>
      </c>
      <c r="D194" s="7" t="s">
        <v>17</v>
      </c>
      <c r="E194" s="7" t="s">
        <v>49</v>
      </c>
      <c r="F194" s="7" t="s">
        <v>127</v>
      </c>
      <c r="G194" s="9">
        <v>1</v>
      </c>
      <c r="H194" s="10">
        <v>180</v>
      </c>
      <c r="I194" s="11">
        <v>0</v>
      </c>
      <c r="J194" s="10">
        <f t="shared" si="8"/>
        <v>180</v>
      </c>
      <c r="K194" s="10">
        <f t="shared" si="9"/>
        <v>180</v>
      </c>
      <c r="L194" s="10">
        <v>122.49</v>
      </c>
      <c r="M194" s="10">
        <f t="shared" si="10"/>
        <v>57.510000000000005</v>
      </c>
      <c r="N194" t="str">
        <f t="shared" si="11"/>
        <v>Meta No Alcanzada</v>
      </c>
    </row>
    <row r="195" spans="1:14" ht="15" customHeight="1" x14ac:dyDescent="0.25">
      <c r="A195" s="2" t="s">
        <v>378</v>
      </c>
      <c r="B195" s="3" t="s">
        <v>352</v>
      </c>
      <c r="C195" s="2" t="s">
        <v>80</v>
      </c>
      <c r="D195" s="2" t="s">
        <v>59</v>
      </c>
      <c r="E195" s="2" t="s">
        <v>36</v>
      </c>
      <c r="F195" s="2" t="s">
        <v>72</v>
      </c>
      <c r="G195" s="4">
        <v>11</v>
      </c>
      <c r="H195" s="5">
        <v>350</v>
      </c>
      <c r="I195" s="6">
        <v>0</v>
      </c>
      <c r="J195" s="5">
        <f t="shared" ref="J195:J258" si="12">G195*H195</f>
        <v>3850</v>
      </c>
      <c r="K195" s="5">
        <f t="shared" ref="K195:K258" si="13">J195*(1-I195)</f>
        <v>3850</v>
      </c>
      <c r="L195" s="5">
        <v>197.32</v>
      </c>
      <c r="M195" s="5">
        <f t="shared" ref="M195:M258" si="14">K195-G195*L195</f>
        <v>1679.48</v>
      </c>
      <c r="N195" t="str">
        <f t="shared" si="11"/>
        <v>Meta No Alcanzada</v>
      </c>
    </row>
    <row r="196" spans="1:14" ht="15" customHeight="1" x14ac:dyDescent="0.25">
      <c r="A196" s="7" t="s">
        <v>379</v>
      </c>
      <c r="B196" s="8" t="s">
        <v>350</v>
      </c>
      <c r="C196" s="7" t="s">
        <v>67</v>
      </c>
      <c r="D196" s="7" t="s">
        <v>23</v>
      </c>
      <c r="E196" s="7" t="s">
        <v>31</v>
      </c>
      <c r="F196" s="7" t="s">
        <v>32</v>
      </c>
      <c r="G196" s="9">
        <v>6</v>
      </c>
      <c r="H196" s="10">
        <v>480</v>
      </c>
      <c r="I196" s="11">
        <v>0</v>
      </c>
      <c r="J196" s="10">
        <f t="shared" si="12"/>
        <v>2880</v>
      </c>
      <c r="K196" s="10">
        <f t="shared" si="13"/>
        <v>2880</v>
      </c>
      <c r="L196" s="10">
        <v>290.64</v>
      </c>
      <c r="M196" s="10">
        <f t="shared" si="14"/>
        <v>1136.1600000000001</v>
      </c>
      <c r="N196" t="str">
        <f t="shared" ref="N196:N259" si="15">IF(K196&gt;=5000,"Meta Cumplida","Meta No Alcanzada")</f>
        <v>Meta No Alcanzada</v>
      </c>
    </row>
    <row r="197" spans="1:14" ht="15" customHeight="1" x14ac:dyDescent="0.25">
      <c r="A197" s="2" t="s">
        <v>380</v>
      </c>
      <c r="B197" s="3" t="s">
        <v>381</v>
      </c>
      <c r="C197" s="2" t="s">
        <v>44</v>
      </c>
      <c r="D197" s="2" t="s">
        <v>28</v>
      </c>
      <c r="E197" s="2" t="s">
        <v>49</v>
      </c>
      <c r="F197" s="2" t="s">
        <v>93</v>
      </c>
      <c r="G197" s="4">
        <v>3</v>
      </c>
      <c r="H197" s="5">
        <v>120</v>
      </c>
      <c r="I197" s="6">
        <v>0.1</v>
      </c>
      <c r="J197" s="5">
        <f t="shared" si="12"/>
        <v>360</v>
      </c>
      <c r="K197" s="5">
        <f t="shared" si="13"/>
        <v>324</v>
      </c>
      <c r="L197" s="5">
        <v>66.900000000000006</v>
      </c>
      <c r="M197" s="5">
        <f t="shared" si="14"/>
        <v>123.29999999999998</v>
      </c>
      <c r="N197" t="str">
        <f t="shared" si="15"/>
        <v>Meta No Alcanzada</v>
      </c>
    </row>
    <row r="198" spans="1:14" ht="15" customHeight="1" x14ac:dyDescent="0.25">
      <c r="A198" s="7" t="s">
        <v>382</v>
      </c>
      <c r="B198" s="8" t="s">
        <v>383</v>
      </c>
      <c r="C198" s="7" t="s">
        <v>16</v>
      </c>
      <c r="D198" s="7" t="s">
        <v>23</v>
      </c>
      <c r="E198" s="7" t="s">
        <v>49</v>
      </c>
      <c r="F198" s="7" t="s">
        <v>65</v>
      </c>
      <c r="G198" s="9">
        <v>8</v>
      </c>
      <c r="H198" s="10">
        <v>220</v>
      </c>
      <c r="I198" s="11">
        <v>0.1</v>
      </c>
      <c r="J198" s="10">
        <f t="shared" si="12"/>
        <v>1760</v>
      </c>
      <c r="K198" s="10">
        <f t="shared" si="13"/>
        <v>1584</v>
      </c>
      <c r="L198" s="10">
        <v>135.59</v>
      </c>
      <c r="M198" s="10">
        <f t="shared" si="14"/>
        <v>499.28</v>
      </c>
      <c r="N198" t="str">
        <f t="shared" si="15"/>
        <v>Meta No Alcanzada</v>
      </c>
    </row>
    <row r="199" spans="1:14" ht="15" customHeight="1" x14ac:dyDescent="0.25">
      <c r="A199" s="2" t="s">
        <v>384</v>
      </c>
      <c r="B199" s="3" t="s">
        <v>377</v>
      </c>
      <c r="C199" s="2" t="s">
        <v>35</v>
      </c>
      <c r="D199" s="2" t="s">
        <v>23</v>
      </c>
      <c r="E199" s="2" t="s">
        <v>31</v>
      </c>
      <c r="F199" s="2" t="s">
        <v>116</v>
      </c>
      <c r="G199" s="4">
        <v>2</v>
      </c>
      <c r="H199" s="5">
        <v>650</v>
      </c>
      <c r="I199" s="6">
        <v>0</v>
      </c>
      <c r="J199" s="5">
        <f t="shared" si="12"/>
        <v>1300</v>
      </c>
      <c r="K199" s="5">
        <f t="shared" si="13"/>
        <v>1300</v>
      </c>
      <c r="L199" s="5">
        <v>423.63</v>
      </c>
      <c r="M199" s="5">
        <f t="shared" si="14"/>
        <v>452.74</v>
      </c>
      <c r="N199" t="str">
        <f t="shared" si="15"/>
        <v>Meta No Alcanzada</v>
      </c>
    </row>
    <row r="200" spans="1:14" ht="15" customHeight="1" x14ac:dyDescent="0.25">
      <c r="A200" s="7" t="s">
        <v>385</v>
      </c>
      <c r="B200" s="8" t="s">
        <v>386</v>
      </c>
      <c r="C200" s="7" t="s">
        <v>44</v>
      </c>
      <c r="D200" s="7" t="s">
        <v>28</v>
      </c>
      <c r="E200" s="7" t="s">
        <v>36</v>
      </c>
      <c r="F200" s="7" t="s">
        <v>37</v>
      </c>
      <c r="G200" s="9">
        <v>7</v>
      </c>
      <c r="H200" s="10">
        <v>1800</v>
      </c>
      <c r="I200" s="11">
        <v>0.1</v>
      </c>
      <c r="J200" s="10">
        <f t="shared" si="12"/>
        <v>12600</v>
      </c>
      <c r="K200" s="10">
        <f t="shared" si="13"/>
        <v>11340</v>
      </c>
      <c r="L200" s="10">
        <v>1004.79</v>
      </c>
      <c r="M200" s="10">
        <f t="shared" si="14"/>
        <v>4306.47</v>
      </c>
      <c r="N200" t="str">
        <f t="shared" si="15"/>
        <v>Meta Cumplida</v>
      </c>
    </row>
    <row r="201" spans="1:14" ht="15" customHeight="1" x14ac:dyDescent="0.25">
      <c r="A201" s="2" t="s">
        <v>387</v>
      </c>
      <c r="B201" s="3" t="s">
        <v>388</v>
      </c>
      <c r="C201" s="2" t="s">
        <v>35</v>
      </c>
      <c r="D201" s="2" t="s">
        <v>17</v>
      </c>
      <c r="E201" s="2" t="s">
        <v>31</v>
      </c>
      <c r="F201" s="2" t="s">
        <v>90</v>
      </c>
      <c r="G201" s="4">
        <v>6</v>
      </c>
      <c r="H201" s="5">
        <v>850</v>
      </c>
      <c r="I201" s="6">
        <v>0</v>
      </c>
      <c r="J201" s="5">
        <f t="shared" si="12"/>
        <v>5100</v>
      </c>
      <c r="K201" s="5">
        <f t="shared" si="13"/>
        <v>5100</v>
      </c>
      <c r="L201" s="5">
        <v>468.49</v>
      </c>
      <c r="M201" s="5">
        <f t="shared" si="14"/>
        <v>2289.06</v>
      </c>
      <c r="N201" t="str">
        <f t="shared" si="15"/>
        <v>Meta Cumplida</v>
      </c>
    </row>
    <row r="202" spans="1:14" ht="15" customHeight="1" x14ac:dyDescent="0.25">
      <c r="A202" s="7" t="s">
        <v>389</v>
      </c>
      <c r="B202" s="8" t="s">
        <v>390</v>
      </c>
      <c r="C202" s="7" t="s">
        <v>80</v>
      </c>
      <c r="D202" s="7" t="s">
        <v>23</v>
      </c>
      <c r="E202" s="7" t="s">
        <v>36</v>
      </c>
      <c r="F202" s="7" t="s">
        <v>150</v>
      </c>
      <c r="G202" s="9">
        <v>9</v>
      </c>
      <c r="H202" s="10">
        <v>90</v>
      </c>
      <c r="I202" s="11">
        <v>0.15</v>
      </c>
      <c r="J202" s="10">
        <f t="shared" si="12"/>
        <v>810</v>
      </c>
      <c r="K202" s="10">
        <f t="shared" si="13"/>
        <v>688.5</v>
      </c>
      <c r="L202" s="10">
        <v>52.61</v>
      </c>
      <c r="M202" s="10">
        <f t="shared" si="14"/>
        <v>215.01</v>
      </c>
      <c r="N202" t="str">
        <f t="shared" si="15"/>
        <v>Meta No Alcanzada</v>
      </c>
    </row>
    <row r="203" spans="1:14" ht="15" customHeight="1" x14ac:dyDescent="0.25">
      <c r="A203" s="2" t="s">
        <v>391</v>
      </c>
      <c r="B203" s="3" t="s">
        <v>392</v>
      </c>
      <c r="C203" s="2" t="s">
        <v>67</v>
      </c>
      <c r="D203" s="2" t="s">
        <v>59</v>
      </c>
      <c r="E203" s="2" t="s">
        <v>49</v>
      </c>
      <c r="F203" s="2" t="s">
        <v>93</v>
      </c>
      <c r="G203" s="4">
        <v>1</v>
      </c>
      <c r="H203" s="5">
        <v>120</v>
      </c>
      <c r="I203" s="6">
        <v>0.05</v>
      </c>
      <c r="J203" s="5">
        <f t="shared" si="12"/>
        <v>120</v>
      </c>
      <c r="K203" s="5">
        <f t="shared" si="13"/>
        <v>114</v>
      </c>
      <c r="L203" s="5">
        <v>66.34</v>
      </c>
      <c r="M203" s="5">
        <f t="shared" si="14"/>
        <v>47.66</v>
      </c>
      <c r="N203" t="str">
        <f t="shared" si="15"/>
        <v>Meta No Alcanzada</v>
      </c>
    </row>
    <row r="204" spans="1:14" ht="15" customHeight="1" x14ac:dyDescent="0.25">
      <c r="A204" s="7" t="s">
        <v>393</v>
      </c>
      <c r="B204" s="8" t="s">
        <v>394</v>
      </c>
      <c r="C204" s="7" t="s">
        <v>22</v>
      </c>
      <c r="D204" s="7" t="s">
        <v>23</v>
      </c>
      <c r="E204" s="7" t="s">
        <v>49</v>
      </c>
      <c r="F204" s="7" t="s">
        <v>65</v>
      </c>
      <c r="G204" s="9">
        <v>12</v>
      </c>
      <c r="H204" s="10">
        <v>220</v>
      </c>
      <c r="I204" s="11">
        <v>0.15</v>
      </c>
      <c r="J204" s="10">
        <f t="shared" si="12"/>
        <v>2640</v>
      </c>
      <c r="K204" s="10">
        <f t="shared" si="13"/>
        <v>2244</v>
      </c>
      <c r="L204" s="10">
        <v>134.78</v>
      </c>
      <c r="M204" s="10">
        <f t="shared" si="14"/>
        <v>626.63999999999987</v>
      </c>
      <c r="N204" t="str">
        <f t="shared" si="15"/>
        <v>Meta No Alcanzada</v>
      </c>
    </row>
    <row r="205" spans="1:14" ht="15" customHeight="1" x14ac:dyDescent="0.25">
      <c r="A205" s="2" t="s">
        <v>395</v>
      </c>
      <c r="B205" s="3" t="s">
        <v>396</v>
      </c>
      <c r="C205" s="2" t="s">
        <v>35</v>
      </c>
      <c r="D205" s="2" t="s">
        <v>28</v>
      </c>
      <c r="E205" s="2" t="s">
        <v>36</v>
      </c>
      <c r="F205" s="2" t="s">
        <v>72</v>
      </c>
      <c r="G205" s="4">
        <v>13</v>
      </c>
      <c r="H205" s="5">
        <v>350</v>
      </c>
      <c r="I205" s="6">
        <v>0.1</v>
      </c>
      <c r="J205" s="5">
        <f t="shared" si="12"/>
        <v>4550</v>
      </c>
      <c r="K205" s="5">
        <f t="shared" si="13"/>
        <v>4095</v>
      </c>
      <c r="L205" s="5">
        <v>216.66</v>
      </c>
      <c r="M205" s="5">
        <f t="shared" si="14"/>
        <v>1278.42</v>
      </c>
      <c r="N205" t="str">
        <f t="shared" si="15"/>
        <v>Meta No Alcanzada</v>
      </c>
    </row>
    <row r="206" spans="1:14" ht="15" customHeight="1" x14ac:dyDescent="0.25">
      <c r="A206" s="7" t="s">
        <v>397</v>
      </c>
      <c r="B206" s="8" t="s">
        <v>398</v>
      </c>
      <c r="C206" s="7" t="s">
        <v>67</v>
      </c>
      <c r="D206" s="7" t="s">
        <v>48</v>
      </c>
      <c r="E206" s="7" t="s">
        <v>49</v>
      </c>
      <c r="F206" s="7" t="s">
        <v>93</v>
      </c>
      <c r="G206" s="9">
        <v>4</v>
      </c>
      <c r="H206" s="10">
        <v>120</v>
      </c>
      <c r="I206" s="11">
        <v>0.05</v>
      </c>
      <c r="J206" s="10">
        <f t="shared" si="12"/>
        <v>480</v>
      </c>
      <c r="K206" s="10">
        <f t="shared" si="13"/>
        <v>456</v>
      </c>
      <c r="L206" s="10">
        <v>76.599999999999994</v>
      </c>
      <c r="M206" s="10">
        <f t="shared" si="14"/>
        <v>149.60000000000002</v>
      </c>
      <c r="N206" t="str">
        <f t="shared" si="15"/>
        <v>Meta No Alcanzada</v>
      </c>
    </row>
    <row r="207" spans="1:14" ht="15" customHeight="1" x14ac:dyDescent="0.25">
      <c r="A207" s="2" t="s">
        <v>399</v>
      </c>
      <c r="B207" s="3" t="s">
        <v>400</v>
      </c>
      <c r="C207" s="2" t="s">
        <v>35</v>
      </c>
      <c r="D207" s="2" t="s">
        <v>59</v>
      </c>
      <c r="E207" s="2" t="s">
        <v>18</v>
      </c>
      <c r="F207" s="2" t="s">
        <v>45</v>
      </c>
      <c r="G207" s="4">
        <v>6</v>
      </c>
      <c r="H207" s="5">
        <v>2100</v>
      </c>
      <c r="I207" s="6">
        <v>0</v>
      </c>
      <c r="J207" s="5">
        <f t="shared" si="12"/>
        <v>12600</v>
      </c>
      <c r="K207" s="5">
        <f t="shared" si="13"/>
        <v>12600</v>
      </c>
      <c r="L207" s="5">
        <v>1259.92</v>
      </c>
      <c r="M207" s="5">
        <f t="shared" si="14"/>
        <v>5040.4799999999996</v>
      </c>
      <c r="N207" t="str">
        <f t="shared" si="15"/>
        <v>Meta Cumplida</v>
      </c>
    </row>
    <row r="208" spans="1:14" ht="15" customHeight="1" x14ac:dyDescent="0.25">
      <c r="A208" s="7" t="s">
        <v>401</v>
      </c>
      <c r="B208" s="8" t="s">
        <v>402</v>
      </c>
      <c r="C208" s="7" t="s">
        <v>22</v>
      </c>
      <c r="D208" s="7" t="s">
        <v>40</v>
      </c>
      <c r="E208" s="7" t="s">
        <v>18</v>
      </c>
      <c r="F208" s="7" t="s">
        <v>19</v>
      </c>
      <c r="G208" s="9">
        <v>4</v>
      </c>
      <c r="H208" s="10">
        <v>2500</v>
      </c>
      <c r="I208" s="11">
        <v>0</v>
      </c>
      <c r="J208" s="10">
        <f t="shared" si="12"/>
        <v>10000</v>
      </c>
      <c r="K208" s="10">
        <f t="shared" si="13"/>
        <v>10000</v>
      </c>
      <c r="L208" s="10">
        <v>1506.66</v>
      </c>
      <c r="M208" s="10">
        <f t="shared" si="14"/>
        <v>3973.3599999999997</v>
      </c>
      <c r="N208" t="str">
        <f t="shared" si="15"/>
        <v>Meta Cumplida</v>
      </c>
    </row>
    <row r="209" spans="1:14" ht="15" customHeight="1" x14ac:dyDescent="0.25">
      <c r="A209" s="2" t="s">
        <v>403</v>
      </c>
      <c r="B209" s="3" t="s">
        <v>404</v>
      </c>
      <c r="C209" s="2" t="s">
        <v>44</v>
      </c>
      <c r="D209" s="2" t="s">
        <v>28</v>
      </c>
      <c r="E209" s="2" t="s">
        <v>31</v>
      </c>
      <c r="F209" s="2" t="s">
        <v>90</v>
      </c>
      <c r="G209" s="4">
        <v>5</v>
      </c>
      <c r="H209" s="5">
        <v>850</v>
      </c>
      <c r="I209" s="6">
        <v>0</v>
      </c>
      <c r="J209" s="5">
        <f t="shared" si="12"/>
        <v>4250</v>
      </c>
      <c r="K209" s="5">
        <f t="shared" si="13"/>
        <v>4250</v>
      </c>
      <c r="L209" s="5">
        <v>489.62</v>
      </c>
      <c r="M209" s="5">
        <f t="shared" si="14"/>
        <v>1801.9</v>
      </c>
      <c r="N209" t="str">
        <f t="shared" si="15"/>
        <v>Meta No Alcanzada</v>
      </c>
    </row>
    <row r="210" spans="1:14" ht="15" customHeight="1" x14ac:dyDescent="0.25">
      <c r="A210" s="7" t="s">
        <v>405</v>
      </c>
      <c r="B210" s="8" t="s">
        <v>406</v>
      </c>
      <c r="C210" s="7" t="s">
        <v>16</v>
      </c>
      <c r="D210" s="7" t="s">
        <v>23</v>
      </c>
      <c r="E210" s="7" t="s">
        <v>18</v>
      </c>
      <c r="F210" s="7" t="s">
        <v>53</v>
      </c>
      <c r="G210" s="9">
        <v>8</v>
      </c>
      <c r="H210" s="10">
        <v>2200</v>
      </c>
      <c r="I210" s="11">
        <v>0.1</v>
      </c>
      <c r="J210" s="10">
        <f t="shared" si="12"/>
        <v>17600</v>
      </c>
      <c r="K210" s="10">
        <f t="shared" si="13"/>
        <v>15840</v>
      </c>
      <c r="L210" s="10">
        <v>1460.76</v>
      </c>
      <c r="M210" s="10">
        <f t="shared" si="14"/>
        <v>4153.92</v>
      </c>
      <c r="N210" t="str">
        <f t="shared" si="15"/>
        <v>Meta Cumplida</v>
      </c>
    </row>
    <row r="211" spans="1:14" ht="15" customHeight="1" x14ac:dyDescent="0.25">
      <c r="A211" s="2" t="s">
        <v>407</v>
      </c>
      <c r="B211" s="3" t="s">
        <v>406</v>
      </c>
      <c r="C211" s="2" t="s">
        <v>16</v>
      </c>
      <c r="D211" s="2" t="s">
        <v>17</v>
      </c>
      <c r="E211" s="2" t="s">
        <v>24</v>
      </c>
      <c r="F211" s="2" t="s">
        <v>69</v>
      </c>
      <c r="G211" s="4">
        <v>3</v>
      </c>
      <c r="H211" s="5">
        <v>95</v>
      </c>
      <c r="I211" s="6">
        <v>0.05</v>
      </c>
      <c r="J211" s="5">
        <f t="shared" si="12"/>
        <v>285</v>
      </c>
      <c r="K211" s="5">
        <f t="shared" si="13"/>
        <v>270.75</v>
      </c>
      <c r="L211" s="5">
        <v>53.22</v>
      </c>
      <c r="M211" s="5">
        <f t="shared" si="14"/>
        <v>111.09</v>
      </c>
      <c r="N211" t="str">
        <f t="shared" si="15"/>
        <v>Meta No Alcanzada</v>
      </c>
    </row>
    <row r="212" spans="1:14" ht="15" customHeight="1" x14ac:dyDescent="0.25">
      <c r="A212" s="7" t="s">
        <v>408</v>
      </c>
      <c r="B212" s="8" t="s">
        <v>406</v>
      </c>
      <c r="C212" s="7" t="s">
        <v>22</v>
      </c>
      <c r="D212" s="7" t="s">
        <v>48</v>
      </c>
      <c r="E212" s="7" t="s">
        <v>49</v>
      </c>
      <c r="F212" s="7" t="s">
        <v>127</v>
      </c>
      <c r="G212" s="9">
        <v>6</v>
      </c>
      <c r="H212" s="10">
        <v>180</v>
      </c>
      <c r="I212" s="11">
        <v>0.1</v>
      </c>
      <c r="J212" s="10">
        <f t="shared" si="12"/>
        <v>1080</v>
      </c>
      <c r="K212" s="10">
        <f t="shared" si="13"/>
        <v>972</v>
      </c>
      <c r="L212" s="10">
        <v>101</v>
      </c>
      <c r="M212" s="10">
        <f t="shared" si="14"/>
        <v>366</v>
      </c>
      <c r="N212" t="str">
        <f t="shared" si="15"/>
        <v>Meta No Alcanzada</v>
      </c>
    </row>
    <row r="213" spans="1:14" ht="15" customHeight="1" x14ac:dyDescent="0.25">
      <c r="A213" s="2" t="s">
        <v>409</v>
      </c>
      <c r="B213" s="3" t="s">
        <v>410</v>
      </c>
      <c r="C213" s="2" t="s">
        <v>44</v>
      </c>
      <c r="D213" s="2" t="s">
        <v>17</v>
      </c>
      <c r="E213" s="2" t="s">
        <v>36</v>
      </c>
      <c r="F213" s="2" t="s">
        <v>72</v>
      </c>
      <c r="G213" s="4">
        <v>14</v>
      </c>
      <c r="H213" s="5">
        <v>350</v>
      </c>
      <c r="I213" s="6">
        <v>0</v>
      </c>
      <c r="J213" s="5">
        <f t="shared" si="12"/>
        <v>4900</v>
      </c>
      <c r="K213" s="5">
        <f t="shared" si="13"/>
        <v>4900</v>
      </c>
      <c r="L213" s="5">
        <v>196.53</v>
      </c>
      <c r="M213" s="5">
        <f t="shared" si="14"/>
        <v>2148.58</v>
      </c>
      <c r="N213" t="str">
        <f t="shared" si="15"/>
        <v>Meta No Alcanzada</v>
      </c>
    </row>
    <row r="214" spans="1:14" ht="15" customHeight="1" x14ac:dyDescent="0.25">
      <c r="A214" s="7" t="s">
        <v>411</v>
      </c>
      <c r="B214" s="8" t="s">
        <v>406</v>
      </c>
      <c r="C214" s="7" t="s">
        <v>67</v>
      </c>
      <c r="D214" s="7" t="s">
        <v>40</v>
      </c>
      <c r="E214" s="7" t="s">
        <v>18</v>
      </c>
      <c r="F214" s="7" t="s">
        <v>45</v>
      </c>
      <c r="G214" s="9">
        <v>9</v>
      </c>
      <c r="H214" s="10">
        <v>2100</v>
      </c>
      <c r="I214" s="11">
        <v>0.15</v>
      </c>
      <c r="J214" s="10">
        <f t="shared" si="12"/>
        <v>18900</v>
      </c>
      <c r="K214" s="10">
        <f t="shared" si="13"/>
        <v>16065</v>
      </c>
      <c r="L214" s="10">
        <v>1437.2</v>
      </c>
      <c r="M214" s="10">
        <f t="shared" si="14"/>
        <v>3130.1999999999989</v>
      </c>
      <c r="N214" t="str">
        <f t="shared" si="15"/>
        <v>Meta Cumplida</v>
      </c>
    </row>
    <row r="215" spans="1:14" ht="15" customHeight="1" x14ac:dyDescent="0.25">
      <c r="A215" s="2" t="s">
        <v>412</v>
      </c>
      <c r="B215" s="3" t="s">
        <v>413</v>
      </c>
      <c r="C215" s="2" t="s">
        <v>35</v>
      </c>
      <c r="D215" s="2" t="s">
        <v>40</v>
      </c>
      <c r="E215" s="2" t="s">
        <v>24</v>
      </c>
      <c r="F215" s="2" t="s">
        <v>62</v>
      </c>
      <c r="G215" s="4">
        <v>8</v>
      </c>
      <c r="H215" s="5">
        <v>220</v>
      </c>
      <c r="I215" s="6">
        <v>0.1</v>
      </c>
      <c r="J215" s="5">
        <f t="shared" si="12"/>
        <v>1760</v>
      </c>
      <c r="K215" s="5">
        <f t="shared" si="13"/>
        <v>1584</v>
      </c>
      <c r="L215" s="5">
        <v>125.98</v>
      </c>
      <c r="M215" s="5">
        <f t="shared" si="14"/>
        <v>576.16</v>
      </c>
      <c r="N215" t="str">
        <f t="shared" si="15"/>
        <v>Meta No Alcanzada</v>
      </c>
    </row>
    <row r="216" spans="1:14" ht="15" customHeight="1" x14ac:dyDescent="0.25">
      <c r="A216" s="7" t="s">
        <v>414</v>
      </c>
      <c r="B216" s="8" t="s">
        <v>413</v>
      </c>
      <c r="C216" s="7" t="s">
        <v>35</v>
      </c>
      <c r="D216" s="7" t="s">
        <v>59</v>
      </c>
      <c r="E216" s="7" t="s">
        <v>36</v>
      </c>
      <c r="F216" s="7" t="s">
        <v>72</v>
      </c>
      <c r="G216" s="9">
        <v>2</v>
      </c>
      <c r="H216" s="10">
        <v>350</v>
      </c>
      <c r="I216" s="11">
        <v>0.1</v>
      </c>
      <c r="J216" s="10">
        <f t="shared" si="12"/>
        <v>700</v>
      </c>
      <c r="K216" s="10">
        <f t="shared" si="13"/>
        <v>630</v>
      </c>
      <c r="L216" s="10">
        <v>226.42</v>
      </c>
      <c r="M216" s="10">
        <f t="shared" si="14"/>
        <v>177.16000000000003</v>
      </c>
      <c r="N216" t="str">
        <f t="shared" si="15"/>
        <v>Meta No Alcanzada</v>
      </c>
    </row>
    <row r="217" spans="1:14" ht="15" customHeight="1" x14ac:dyDescent="0.25">
      <c r="A217" s="2" t="s">
        <v>415</v>
      </c>
      <c r="B217" s="3" t="s">
        <v>416</v>
      </c>
      <c r="C217" s="2" t="s">
        <v>67</v>
      </c>
      <c r="D217" s="2" t="s">
        <v>40</v>
      </c>
      <c r="E217" s="2" t="s">
        <v>31</v>
      </c>
      <c r="F217" s="2" t="s">
        <v>32</v>
      </c>
      <c r="G217" s="4">
        <v>9</v>
      </c>
      <c r="H217" s="5">
        <v>480</v>
      </c>
      <c r="I217" s="6">
        <v>0.1</v>
      </c>
      <c r="J217" s="5">
        <f t="shared" si="12"/>
        <v>4320</v>
      </c>
      <c r="K217" s="5">
        <f t="shared" si="13"/>
        <v>3888</v>
      </c>
      <c r="L217" s="5">
        <v>275.43</v>
      </c>
      <c r="M217" s="5">
        <f t="shared" si="14"/>
        <v>1409.13</v>
      </c>
      <c r="N217" t="str">
        <f t="shared" si="15"/>
        <v>Meta No Alcanzada</v>
      </c>
    </row>
    <row r="218" spans="1:14" ht="15" customHeight="1" x14ac:dyDescent="0.25">
      <c r="A218" s="7" t="s">
        <v>417</v>
      </c>
      <c r="B218" s="8" t="s">
        <v>418</v>
      </c>
      <c r="C218" s="7" t="s">
        <v>67</v>
      </c>
      <c r="D218" s="7" t="s">
        <v>17</v>
      </c>
      <c r="E218" s="7" t="s">
        <v>49</v>
      </c>
      <c r="F218" s="7" t="s">
        <v>65</v>
      </c>
      <c r="G218" s="9">
        <v>11</v>
      </c>
      <c r="H218" s="10">
        <v>220</v>
      </c>
      <c r="I218" s="11">
        <v>0.1</v>
      </c>
      <c r="J218" s="10">
        <f t="shared" si="12"/>
        <v>2420</v>
      </c>
      <c r="K218" s="10">
        <f t="shared" si="13"/>
        <v>2178</v>
      </c>
      <c r="L218" s="10">
        <v>122.73</v>
      </c>
      <c r="M218" s="10">
        <f t="shared" si="14"/>
        <v>827.97</v>
      </c>
      <c r="N218" t="str">
        <f t="shared" si="15"/>
        <v>Meta No Alcanzada</v>
      </c>
    </row>
    <row r="219" spans="1:14" ht="15" customHeight="1" x14ac:dyDescent="0.25">
      <c r="A219" s="2" t="s">
        <v>419</v>
      </c>
      <c r="B219" s="3" t="s">
        <v>420</v>
      </c>
      <c r="C219" s="2" t="s">
        <v>35</v>
      </c>
      <c r="D219" s="2" t="s">
        <v>48</v>
      </c>
      <c r="E219" s="2" t="s">
        <v>49</v>
      </c>
      <c r="F219" s="2" t="s">
        <v>93</v>
      </c>
      <c r="G219" s="4">
        <v>9</v>
      </c>
      <c r="H219" s="5">
        <v>120</v>
      </c>
      <c r="I219" s="6">
        <v>0.15</v>
      </c>
      <c r="J219" s="5">
        <f t="shared" si="12"/>
        <v>1080</v>
      </c>
      <c r="K219" s="5">
        <f t="shared" si="13"/>
        <v>918</v>
      </c>
      <c r="L219" s="5">
        <v>72.959999999999994</v>
      </c>
      <c r="M219" s="5">
        <f t="shared" si="14"/>
        <v>261.36</v>
      </c>
      <c r="N219" t="str">
        <f t="shared" si="15"/>
        <v>Meta No Alcanzada</v>
      </c>
    </row>
    <row r="220" spans="1:14" ht="15" customHeight="1" x14ac:dyDescent="0.25">
      <c r="A220" s="7" t="s">
        <v>421</v>
      </c>
      <c r="B220" s="8" t="s">
        <v>416</v>
      </c>
      <c r="C220" s="7" t="s">
        <v>35</v>
      </c>
      <c r="D220" s="7" t="s">
        <v>48</v>
      </c>
      <c r="E220" s="7" t="s">
        <v>24</v>
      </c>
      <c r="F220" s="7" t="s">
        <v>62</v>
      </c>
      <c r="G220" s="9">
        <v>10</v>
      </c>
      <c r="H220" s="10">
        <v>220</v>
      </c>
      <c r="I220" s="11">
        <v>0.15</v>
      </c>
      <c r="J220" s="10">
        <f t="shared" si="12"/>
        <v>2200</v>
      </c>
      <c r="K220" s="10">
        <f t="shared" si="13"/>
        <v>1870</v>
      </c>
      <c r="L220" s="10">
        <v>125.67</v>
      </c>
      <c r="M220" s="10">
        <f t="shared" si="14"/>
        <v>613.29999999999995</v>
      </c>
      <c r="N220" t="str">
        <f t="shared" si="15"/>
        <v>Meta No Alcanzada</v>
      </c>
    </row>
    <row r="221" spans="1:14" ht="15" customHeight="1" x14ac:dyDescent="0.25">
      <c r="A221" s="2" t="s">
        <v>422</v>
      </c>
      <c r="B221" s="3" t="s">
        <v>423</v>
      </c>
      <c r="C221" s="2" t="s">
        <v>80</v>
      </c>
      <c r="D221" s="2" t="s">
        <v>40</v>
      </c>
      <c r="E221" s="2" t="s">
        <v>49</v>
      </c>
      <c r="F221" s="2" t="s">
        <v>65</v>
      </c>
      <c r="G221" s="4">
        <v>12</v>
      </c>
      <c r="H221" s="5">
        <v>220</v>
      </c>
      <c r="I221" s="6">
        <v>0</v>
      </c>
      <c r="J221" s="5">
        <f t="shared" si="12"/>
        <v>2640</v>
      </c>
      <c r="K221" s="5">
        <f t="shared" si="13"/>
        <v>2640</v>
      </c>
      <c r="L221" s="5">
        <v>131.22</v>
      </c>
      <c r="M221" s="5">
        <f t="shared" si="14"/>
        <v>1065.3600000000001</v>
      </c>
      <c r="N221" t="str">
        <f t="shared" si="15"/>
        <v>Meta No Alcanzada</v>
      </c>
    </row>
    <row r="222" spans="1:14" ht="15" customHeight="1" x14ac:dyDescent="0.25">
      <c r="A222" s="7" t="s">
        <v>424</v>
      </c>
      <c r="B222" s="8" t="s">
        <v>398</v>
      </c>
      <c r="C222" s="7" t="s">
        <v>16</v>
      </c>
      <c r="D222" s="7" t="s">
        <v>59</v>
      </c>
      <c r="E222" s="7" t="s">
        <v>49</v>
      </c>
      <c r="F222" s="7" t="s">
        <v>50</v>
      </c>
      <c r="G222" s="9">
        <v>14</v>
      </c>
      <c r="H222" s="10">
        <v>85</v>
      </c>
      <c r="I222" s="11">
        <v>0.15</v>
      </c>
      <c r="J222" s="10">
        <f t="shared" si="12"/>
        <v>1190</v>
      </c>
      <c r="K222" s="10">
        <f t="shared" si="13"/>
        <v>1011.5</v>
      </c>
      <c r="L222" s="10">
        <v>59.46</v>
      </c>
      <c r="M222" s="10">
        <f t="shared" si="14"/>
        <v>179.05999999999995</v>
      </c>
      <c r="N222" t="str">
        <f t="shared" si="15"/>
        <v>Meta No Alcanzada</v>
      </c>
    </row>
    <row r="223" spans="1:14" ht="15" customHeight="1" x14ac:dyDescent="0.25">
      <c r="A223" s="2" t="s">
        <v>425</v>
      </c>
      <c r="B223" s="3" t="s">
        <v>426</v>
      </c>
      <c r="C223" s="2" t="s">
        <v>44</v>
      </c>
      <c r="D223" s="2" t="s">
        <v>17</v>
      </c>
      <c r="E223" s="2" t="s">
        <v>36</v>
      </c>
      <c r="F223" s="2" t="s">
        <v>37</v>
      </c>
      <c r="G223" s="4">
        <v>5</v>
      </c>
      <c r="H223" s="5">
        <v>1800</v>
      </c>
      <c r="I223" s="6">
        <v>0</v>
      </c>
      <c r="J223" s="5">
        <f t="shared" si="12"/>
        <v>9000</v>
      </c>
      <c r="K223" s="5">
        <f t="shared" si="13"/>
        <v>9000</v>
      </c>
      <c r="L223" s="5">
        <v>1246.82</v>
      </c>
      <c r="M223" s="5">
        <f t="shared" si="14"/>
        <v>2765.9000000000005</v>
      </c>
      <c r="N223" t="str">
        <f t="shared" si="15"/>
        <v>Meta Cumplida</v>
      </c>
    </row>
    <row r="224" spans="1:14" ht="15" customHeight="1" x14ac:dyDescent="0.25">
      <c r="A224" s="7" t="s">
        <v>427</v>
      </c>
      <c r="B224" s="8" t="s">
        <v>428</v>
      </c>
      <c r="C224" s="7" t="s">
        <v>80</v>
      </c>
      <c r="D224" s="7" t="s">
        <v>28</v>
      </c>
      <c r="E224" s="7" t="s">
        <v>36</v>
      </c>
      <c r="F224" s="7" t="s">
        <v>150</v>
      </c>
      <c r="G224" s="9">
        <v>3</v>
      </c>
      <c r="H224" s="10">
        <v>90</v>
      </c>
      <c r="I224" s="11">
        <v>0</v>
      </c>
      <c r="J224" s="10">
        <f t="shared" si="12"/>
        <v>270</v>
      </c>
      <c r="K224" s="10">
        <f t="shared" si="13"/>
        <v>270</v>
      </c>
      <c r="L224" s="10">
        <v>53.49</v>
      </c>
      <c r="M224" s="10">
        <f t="shared" si="14"/>
        <v>109.53</v>
      </c>
      <c r="N224" t="str">
        <f t="shared" si="15"/>
        <v>Meta No Alcanzada</v>
      </c>
    </row>
    <row r="225" spans="1:14" ht="15" customHeight="1" x14ac:dyDescent="0.25">
      <c r="A225" s="2" t="s">
        <v>429</v>
      </c>
      <c r="B225" s="3" t="s">
        <v>430</v>
      </c>
      <c r="C225" s="2" t="s">
        <v>16</v>
      </c>
      <c r="D225" s="2" t="s">
        <v>17</v>
      </c>
      <c r="E225" s="2" t="s">
        <v>18</v>
      </c>
      <c r="F225" s="2" t="s">
        <v>19</v>
      </c>
      <c r="G225" s="4">
        <v>15</v>
      </c>
      <c r="H225" s="5">
        <v>2500</v>
      </c>
      <c r="I225" s="6">
        <v>0.1</v>
      </c>
      <c r="J225" s="5">
        <f t="shared" si="12"/>
        <v>37500</v>
      </c>
      <c r="K225" s="5">
        <f t="shared" si="13"/>
        <v>33750</v>
      </c>
      <c r="L225" s="5">
        <v>1424.14</v>
      </c>
      <c r="M225" s="5">
        <f t="shared" si="14"/>
        <v>12387.899999999998</v>
      </c>
      <c r="N225" t="str">
        <f t="shared" si="15"/>
        <v>Meta Cumplida</v>
      </c>
    </row>
    <row r="226" spans="1:14" ht="15" customHeight="1" x14ac:dyDescent="0.25">
      <c r="A226" s="7" t="s">
        <v>431</v>
      </c>
      <c r="B226" s="8" t="s">
        <v>432</v>
      </c>
      <c r="C226" s="7" t="s">
        <v>80</v>
      </c>
      <c r="D226" s="7" t="s">
        <v>59</v>
      </c>
      <c r="E226" s="7" t="s">
        <v>31</v>
      </c>
      <c r="F226" s="7" t="s">
        <v>90</v>
      </c>
      <c r="G226" s="9">
        <v>13</v>
      </c>
      <c r="H226" s="10">
        <v>850</v>
      </c>
      <c r="I226" s="11">
        <v>0.1</v>
      </c>
      <c r="J226" s="10">
        <f t="shared" si="12"/>
        <v>11050</v>
      </c>
      <c r="K226" s="10">
        <f t="shared" si="13"/>
        <v>9945</v>
      </c>
      <c r="L226" s="10">
        <v>570.65</v>
      </c>
      <c r="M226" s="10">
        <f t="shared" si="14"/>
        <v>2526.5500000000002</v>
      </c>
      <c r="N226" t="str">
        <f t="shared" si="15"/>
        <v>Meta Cumplida</v>
      </c>
    </row>
    <row r="227" spans="1:14" ht="15" customHeight="1" x14ac:dyDescent="0.25">
      <c r="A227" s="2" t="s">
        <v>433</v>
      </c>
      <c r="B227" s="3" t="s">
        <v>434</v>
      </c>
      <c r="C227" s="2" t="s">
        <v>67</v>
      </c>
      <c r="D227" s="2" t="s">
        <v>17</v>
      </c>
      <c r="E227" s="2" t="s">
        <v>36</v>
      </c>
      <c r="F227" s="2" t="s">
        <v>72</v>
      </c>
      <c r="G227" s="4">
        <v>11</v>
      </c>
      <c r="H227" s="5">
        <v>350</v>
      </c>
      <c r="I227" s="6">
        <v>0.15</v>
      </c>
      <c r="J227" s="5">
        <f t="shared" si="12"/>
        <v>3850</v>
      </c>
      <c r="K227" s="5">
        <f t="shared" si="13"/>
        <v>3272.5</v>
      </c>
      <c r="L227" s="5">
        <v>204.97</v>
      </c>
      <c r="M227" s="5">
        <f t="shared" si="14"/>
        <v>1017.8299999999999</v>
      </c>
      <c r="N227" t="str">
        <f t="shared" si="15"/>
        <v>Meta No Alcanzada</v>
      </c>
    </row>
    <row r="228" spans="1:14" ht="15" customHeight="1" x14ac:dyDescent="0.25">
      <c r="A228" s="7" t="s">
        <v>435</v>
      </c>
      <c r="B228" s="8" t="s">
        <v>428</v>
      </c>
      <c r="C228" s="7" t="s">
        <v>16</v>
      </c>
      <c r="D228" s="7" t="s">
        <v>23</v>
      </c>
      <c r="E228" s="7" t="s">
        <v>24</v>
      </c>
      <c r="F228" s="7" t="s">
        <v>69</v>
      </c>
      <c r="G228" s="9">
        <v>4</v>
      </c>
      <c r="H228" s="10">
        <v>95</v>
      </c>
      <c r="I228" s="11">
        <v>0.1</v>
      </c>
      <c r="J228" s="10">
        <f t="shared" si="12"/>
        <v>380</v>
      </c>
      <c r="K228" s="10">
        <f t="shared" si="13"/>
        <v>342</v>
      </c>
      <c r="L228" s="10">
        <v>55.66</v>
      </c>
      <c r="M228" s="10">
        <f t="shared" si="14"/>
        <v>119.36000000000001</v>
      </c>
      <c r="N228" t="str">
        <f t="shared" si="15"/>
        <v>Meta No Alcanzada</v>
      </c>
    </row>
    <row r="229" spans="1:14" ht="15" customHeight="1" x14ac:dyDescent="0.25">
      <c r="A229" s="2" t="s">
        <v>436</v>
      </c>
      <c r="B229" s="3" t="s">
        <v>437</v>
      </c>
      <c r="C229" s="2" t="s">
        <v>35</v>
      </c>
      <c r="D229" s="2" t="s">
        <v>59</v>
      </c>
      <c r="E229" s="2" t="s">
        <v>36</v>
      </c>
      <c r="F229" s="2" t="s">
        <v>150</v>
      </c>
      <c r="G229" s="4">
        <v>10</v>
      </c>
      <c r="H229" s="5">
        <v>90</v>
      </c>
      <c r="I229" s="6">
        <v>0.05</v>
      </c>
      <c r="J229" s="5">
        <f t="shared" si="12"/>
        <v>900</v>
      </c>
      <c r="K229" s="5">
        <f t="shared" si="13"/>
        <v>855</v>
      </c>
      <c r="L229" s="5">
        <v>55.73</v>
      </c>
      <c r="M229" s="5">
        <f t="shared" si="14"/>
        <v>297.70000000000005</v>
      </c>
      <c r="N229" t="str">
        <f t="shared" si="15"/>
        <v>Meta No Alcanzada</v>
      </c>
    </row>
    <row r="230" spans="1:14" ht="15" customHeight="1" x14ac:dyDescent="0.25">
      <c r="A230" s="7" t="s">
        <v>438</v>
      </c>
      <c r="B230" s="8" t="s">
        <v>439</v>
      </c>
      <c r="C230" s="7" t="s">
        <v>80</v>
      </c>
      <c r="D230" s="7" t="s">
        <v>28</v>
      </c>
      <c r="E230" s="7" t="s">
        <v>36</v>
      </c>
      <c r="F230" s="7" t="s">
        <v>170</v>
      </c>
      <c r="G230" s="9">
        <v>13</v>
      </c>
      <c r="H230" s="10">
        <v>480</v>
      </c>
      <c r="I230" s="11">
        <v>0.1</v>
      </c>
      <c r="J230" s="10">
        <f t="shared" si="12"/>
        <v>6240</v>
      </c>
      <c r="K230" s="10">
        <f t="shared" si="13"/>
        <v>5616</v>
      </c>
      <c r="L230" s="10">
        <v>273.95999999999998</v>
      </c>
      <c r="M230" s="10">
        <f t="shared" si="14"/>
        <v>2054.5200000000004</v>
      </c>
      <c r="N230" t="str">
        <f t="shared" si="15"/>
        <v>Meta Cumplida</v>
      </c>
    </row>
    <row r="231" spans="1:14" ht="15" customHeight="1" x14ac:dyDescent="0.25">
      <c r="A231" s="2" t="s">
        <v>440</v>
      </c>
      <c r="B231" s="3" t="s">
        <v>441</v>
      </c>
      <c r="C231" s="2" t="s">
        <v>35</v>
      </c>
      <c r="D231" s="2" t="s">
        <v>40</v>
      </c>
      <c r="E231" s="2" t="s">
        <v>18</v>
      </c>
      <c r="F231" s="2" t="s">
        <v>45</v>
      </c>
      <c r="G231" s="4">
        <v>15</v>
      </c>
      <c r="H231" s="5">
        <v>2100</v>
      </c>
      <c r="I231" s="6">
        <v>0</v>
      </c>
      <c r="J231" s="5">
        <f t="shared" si="12"/>
        <v>31500</v>
      </c>
      <c r="K231" s="5">
        <f t="shared" si="13"/>
        <v>31500</v>
      </c>
      <c r="L231" s="5">
        <v>1379.09</v>
      </c>
      <c r="M231" s="5">
        <f t="shared" si="14"/>
        <v>10813.650000000001</v>
      </c>
      <c r="N231" t="str">
        <f t="shared" si="15"/>
        <v>Meta Cumplida</v>
      </c>
    </row>
    <row r="232" spans="1:14" ht="15" customHeight="1" x14ac:dyDescent="0.25">
      <c r="A232" s="7" t="s">
        <v>442</v>
      </c>
      <c r="B232" s="8" t="s">
        <v>443</v>
      </c>
      <c r="C232" s="7" t="s">
        <v>44</v>
      </c>
      <c r="D232" s="7" t="s">
        <v>28</v>
      </c>
      <c r="E232" s="7" t="s">
        <v>18</v>
      </c>
      <c r="F232" s="7" t="s">
        <v>41</v>
      </c>
      <c r="G232" s="9">
        <v>5</v>
      </c>
      <c r="H232" s="10">
        <v>2800</v>
      </c>
      <c r="I232" s="11">
        <v>0.05</v>
      </c>
      <c r="J232" s="10">
        <f t="shared" si="12"/>
        <v>14000</v>
      </c>
      <c r="K232" s="10">
        <f t="shared" si="13"/>
        <v>13300</v>
      </c>
      <c r="L232" s="10">
        <v>1920.23</v>
      </c>
      <c r="M232" s="10">
        <f t="shared" si="14"/>
        <v>3698.8500000000004</v>
      </c>
      <c r="N232" t="str">
        <f t="shared" si="15"/>
        <v>Meta Cumplida</v>
      </c>
    </row>
    <row r="233" spans="1:14" ht="15" customHeight="1" x14ac:dyDescent="0.25">
      <c r="A233" s="2" t="s">
        <v>444</v>
      </c>
      <c r="B233" s="3" t="s">
        <v>445</v>
      </c>
      <c r="C233" s="2" t="s">
        <v>80</v>
      </c>
      <c r="D233" s="2" t="s">
        <v>23</v>
      </c>
      <c r="E233" s="2" t="s">
        <v>36</v>
      </c>
      <c r="F233" s="2" t="s">
        <v>72</v>
      </c>
      <c r="G233" s="4">
        <v>15</v>
      </c>
      <c r="H233" s="5">
        <v>350</v>
      </c>
      <c r="I233" s="6">
        <v>0</v>
      </c>
      <c r="J233" s="5">
        <f t="shared" si="12"/>
        <v>5250</v>
      </c>
      <c r="K233" s="5">
        <f t="shared" si="13"/>
        <v>5250</v>
      </c>
      <c r="L233" s="5">
        <v>241.35</v>
      </c>
      <c r="M233" s="5">
        <f t="shared" si="14"/>
        <v>1629.75</v>
      </c>
      <c r="N233" t="str">
        <f t="shared" si="15"/>
        <v>Meta Cumplida</v>
      </c>
    </row>
    <row r="234" spans="1:14" ht="15" customHeight="1" x14ac:dyDescent="0.25">
      <c r="A234" s="7" t="s">
        <v>446</v>
      </c>
      <c r="B234" s="8" t="s">
        <v>447</v>
      </c>
      <c r="C234" s="7" t="s">
        <v>22</v>
      </c>
      <c r="D234" s="7" t="s">
        <v>17</v>
      </c>
      <c r="E234" s="7" t="s">
        <v>18</v>
      </c>
      <c r="F234" s="7" t="s">
        <v>45</v>
      </c>
      <c r="G234" s="9">
        <v>4</v>
      </c>
      <c r="H234" s="10">
        <v>2100</v>
      </c>
      <c r="I234" s="11">
        <v>0.05</v>
      </c>
      <c r="J234" s="10">
        <f t="shared" si="12"/>
        <v>8400</v>
      </c>
      <c r="K234" s="10">
        <f t="shared" si="13"/>
        <v>7980</v>
      </c>
      <c r="L234" s="10">
        <v>1468.28</v>
      </c>
      <c r="M234" s="10">
        <f t="shared" si="14"/>
        <v>2106.88</v>
      </c>
      <c r="N234" t="str">
        <f t="shared" si="15"/>
        <v>Meta Cumplida</v>
      </c>
    </row>
    <row r="235" spans="1:14" ht="15" customHeight="1" x14ac:dyDescent="0.25">
      <c r="A235" s="2" t="s">
        <v>448</v>
      </c>
      <c r="B235" s="3" t="s">
        <v>428</v>
      </c>
      <c r="C235" s="2" t="s">
        <v>35</v>
      </c>
      <c r="D235" s="2" t="s">
        <v>48</v>
      </c>
      <c r="E235" s="2" t="s">
        <v>31</v>
      </c>
      <c r="F235" s="2" t="s">
        <v>116</v>
      </c>
      <c r="G235" s="4">
        <v>14</v>
      </c>
      <c r="H235" s="5">
        <v>650</v>
      </c>
      <c r="I235" s="6">
        <v>0.15</v>
      </c>
      <c r="J235" s="5">
        <f t="shared" si="12"/>
        <v>9100</v>
      </c>
      <c r="K235" s="5">
        <f t="shared" si="13"/>
        <v>7735</v>
      </c>
      <c r="L235" s="5">
        <v>420.87</v>
      </c>
      <c r="M235" s="5">
        <f t="shared" si="14"/>
        <v>1842.8199999999997</v>
      </c>
      <c r="N235" t="str">
        <f t="shared" si="15"/>
        <v>Meta Cumplida</v>
      </c>
    </row>
    <row r="236" spans="1:14" ht="15" customHeight="1" x14ac:dyDescent="0.25">
      <c r="A236" s="7" t="s">
        <v>449</v>
      </c>
      <c r="B236" s="8" t="s">
        <v>443</v>
      </c>
      <c r="C236" s="7" t="s">
        <v>44</v>
      </c>
      <c r="D236" s="7" t="s">
        <v>17</v>
      </c>
      <c r="E236" s="7" t="s">
        <v>31</v>
      </c>
      <c r="F236" s="7" t="s">
        <v>90</v>
      </c>
      <c r="G236" s="9">
        <v>15</v>
      </c>
      <c r="H236" s="10">
        <v>850</v>
      </c>
      <c r="I236" s="11">
        <v>0.05</v>
      </c>
      <c r="J236" s="10">
        <f t="shared" si="12"/>
        <v>12750</v>
      </c>
      <c r="K236" s="10">
        <f t="shared" si="13"/>
        <v>12112.5</v>
      </c>
      <c r="L236" s="10">
        <v>556.25</v>
      </c>
      <c r="M236" s="10">
        <f t="shared" si="14"/>
        <v>3768.75</v>
      </c>
      <c r="N236" t="str">
        <f t="shared" si="15"/>
        <v>Meta Cumplida</v>
      </c>
    </row>
    <row r="237" spans="1:14" ht="15" customHeight="1" x14ac:dyDescent="0.25">
      <c r="A237" s="2" t="s">
        <v>450</v>
      </c>
      <c r="B237" s="3" t="s">
        <v>451</v>
      </c>
      <c r="C237" s="2" t="s">
        <v>22</v>
      </c>
      <c r="D237" s="2" t="s">
        <v>48</v>
      </c>
      <c r="E237" s="2" t="s">
        <v>36</v>
      </c>
      <c r="F237" s="2" t="s">
        <v>170</v>
      </c>
      <c r="G237" s="4">
        <v>15</v>
      </c>
      <c r="H237" s="5">
        <v>480</v>
      </c>
      <c r="I237" s="6">
        <v>0</v>
      </c>
      <c r="J237" s="5">
        <f t="shared" si="12"/>
        <v>7200</v>
      </c>
      <c r="K237" s="5">
        <f t="shared" si="13"/>
        <v>7200</v>
      </c>
      <c r="L237" s="5">
        <v>265.37</v>
      </c>
      <c r="M237" s="5">
        <f t="shared" si="14"/>
        <v>3219.45</v>
      </c>
      <c r="N237" t="str">
        <f t="shared" si="15"/>
        <v>Meta Cumplida</v>
      </c>
    </row>
    <row r="238" spans="1:14" ht="15" customHeight="1" x14ac:dyDescent="0.25">
      <c r="A238" s="7" t="s">
        <v>452</v>
      </c>
      <c r="B238" s="8" t="s">
        <v>453</v>
      </c>
      <c r="C238" s="7" t="s">
        <v>44</v>
      </c>
      <c r="D238" s="7" t="s">
        <v>17</v>
      </c>
      <c r="E238" s="7" t="s">
        <v>31</v>
      </c>
      <c r="F238" s="7" t="s">
        <v>32</v>
      </c>
      <c r="G238" s="9">
        <v>4</v>
      </c>
      <c r="H238" s="10">
        <v>480</v>
      </c>
      <c r="I238" s="11">
        <v>0</v>
      </c>
      <c r="J238" s="10">
        <f t="shared" si="12"/>
        <v>1920</v>
      </c>
      <c r="K238" s="10">
        <f t="shared" si="13"/>
        <v>1920</v>
      </c>
      <c r="L238" s="10">
        <v>272.77</v>
      </c>
      <c r="M238" s="10">
        <f t="shared" si="14"/>
        <v>828.92000000000007</v>
      </c>
      <c r="N238" t="str">
        <f t="shared" si="15"/>
        <v>Meta No Alcanzada</v>
      </c>
    </row>
    <row r="239" spans="1:14" ht="15" customHeight="1" x14ac:dyDescent="0.25">
      <c r="A239" s="2" t="s">
        <v>454</v>
      </c>
      <c r="B239" s="3" t="s">
        <v>455</v>
      </c>
      <c r="C239" s="2" t="s">
        <v>44</v>
      </c>
      <c r="D239" s="2" t="s">
        <v>48</v>
      </c>
      <c r="E239" s="2" t="s">
        <v>36</v>
      </c>
      <c r="F239" s="2" t="s">
        <v>170</v>
      </c>
      <c r="G239" s="4">
        <v>14</v>
      </c>
      <c r="H239" s="5">
        <v>480</v>
      </c>
      <c r="I239" s="6">
        <v>0.05</v>
      </c>
      <c r="J239" s="5">
        <f t="shared" si="12"/>
        <v>6720</v>
      </c>
      <c r="K239" s="5">
        <f t="shared" si="13"/>
        <v>6384</v>
      </c>
      <c r="L239" s="5">
        <v>306.97000000000003</v>
      </c>
      <c r="M239" s="5">
        <f t="shared" si="14"/>
        <v>2086.42</v>
      </c>
      <c r="N239" t="str">
        <f t="shared" si="15"/>
        <v>Meta Cumplida</v>
      </c>
    </row>
    <row r="240" spans="1:14" ht="15" customHeight="1" x14ac:dyDescent="0.25">
      <c r="A240" s="7" t="s">
        <v>456</v>
      </c>
      <c r="B240" s="8" t="s">
        <v>447</v>
      </c>
      <c r="C240" s="7" t="s">
        <v>16</v>
      </c>
      <c r="D240" s="7" t="s">
        <v>28</v>
      </c>
      <c r="E240" s="7" t="s">
        <v>24</v>
      </c>
      <c r="F240" s="7" t="s">
        <v>62</v>
      </c>
      <c r="G240" s="9">
        <v>5</v>
      </c>
      <c r="H240" s="10">
        <v>220</v>
      </c>
      <c r="I240" s="11">
        <v>0.05</v>
      </c>
      <c r="J240" s="10">
        <f t="shared" si="12"/>
        <v>1100</v>
      </c>
      <c r="K240" s="10">
        <f t="shared" si="13"/>
        <v>1045</v>
      </c>
      <c r="L240" s="10">
        <v>121.05</v>
      </c>
      <c r="M240" s="10">
        <f t="shared" si="14"/>
        <v>439.75</v>
      </c>
      <c r="N240" t="str">
        <f t="shared" si="15"/>
        <v>Meta No Alcanzada</v>
      </c>
    </row>
    <row r="241" spans="1:14" ht="15" customHeight="1" x14ac:dyDescent="0.25">
      <c r="A241" s="2" t="s">
        <v>457</v>
      </c>
      <c r="B241" s="3" t="s">
        <v>447</v>
      </c>
      <c r="C241" s="2" t="s">
        <v>80</v>
      </c>
      <c r="D241" s="2" t="s">
        <v>59</v>
      </c>
      <c r="E241" s="2" t="s">
        <v>31</v>
      </c>
      <c r="F241" s="2" t="s">
        <v>32</v>
      </c>
      <c r="G241" s="4">
        <v>11</v>
      </c>
      <c r="H241" s="5">
        <v>480</v>
      </c>
      <c r="I241" s="6">
        <v>0</v>
      </c>
      <c r="J241" s="5">
        <f t="shared" si="12"/>
        <v>5280</v>
      </c>
      <c r="K241" s="5">
        <f t="shared" si="13"/>
        <v>5280</v>
      </c>
      <c r="L241" s="5">
        <v>301.69</v>
      </c>
      <c r="M241" s="5">
        <f t="shared" si="14"/>
        <v>1961.4099999999999</v>
      </c>
      <c r="N241" t="str">
        <f t="shared" si="15"/>
        <v>Meta Cumplida</v>
      </c>
    </row>
    <row r="242" spans="1:14" ht="15" customHeight="1" x14ac:dyDescent="0.25">
      <c r="A242" s="7" t="s">
        <v>458</v>
      </c>
      <c r="B242" s="8" t="s">
        <v>459</v>
      </c>
      <c r="C242" s="7" t="s">
        <v>67</v>
      </c>
      <c r="D242" s="7" t="s">
        <v>23</v>
      </c>
      <c r="E242" s="7" t="s">
        <v>24</v>
      </c>
      <c r="F242" s="7" t="s">
        <v>25</v>
      </c>
      <c r="G242" s="9">
        <v>1</v>
      </c>
      <c r="H242" s="10">
        <v>180</v>
      </c>
      <c r="I242" s="11">
        <v>0.15</v>
      </c>
      <c r="J242" s="10">
        <f t="shared" si="12"/>
        <v>180</v>
      </c>
      <c r="K242" s="10">
        <f t="shared" si="13"/>
        <v>153</v>
      </c>
      <c r="L242" s="10">
        <v>109.45</v>
      </c>
      <c r="M242" s="10">
        <f t="shared" si="14"/>
        <v>43.55</v>
      </c>
      <c r="N242" t="str">
        <f t="shared" si="15"/>
        <v>Meta No Alcanzada</v>
      </c>
    </row>
    <row r="243" spans="1:14" ht="15" customHeight="1" x14ac:dyDescent="0.25">
      <c r="A243" s="2" t="s">
        <v>460</v>
      </c>
      <c r="B243" s="3" t="s">
        <v>461</v>
      </c>
      <c r="C243" s="2" t="s">
        <v>35</v>
      </c>
      <c r="D243" s="2" t="s">
        <v>48</v>
      </c>
      <c r="E243" s="2" t="s">
        <v>49</v>
      </c>
      <c r="F243" s="2" t="s">
        <v>93</v>
      </c>
      <c r="G243" s="4">
        <v>6</v>
      </c>
      <c r="H243" s="5">
        <v>120</v>
      </c>
      <c r="I243" s="6">
        <v>0</v>
      </c>
      <c r="J243" s="5">
        <f t="shared" si="12"/>
        <v>720</v>
      </c>
      <c r="K243" s="5">
        <f t="shared" si="13"/>
        <v>720</v>
      </c>
      <c r="L243" s="5">
        <v>79.19</v>
      </c>
      <c r="M243" s="5">
        <f t="shared" si="14"/>
        <v>244.86</v>
      </c>
      <c r="N243" t="str">
        <f t="shared" si="15"/>
        <v>Meta No Alcanzada</v>
      </c>
    </row>
    <row r="244" spans="1:14" ht="15" customHeight="1" x14ac:dyDescent="0.25">
      <c r="A244" s="7" t="s">
        <v>462</v>
      </c>
      <c r="B244" s="8" t="s">
        <v>461</v>
      </c>
      <c r="C244" s="7" t="s">
        <v>80</v>
      </c>
      <c r="D244" s="7" t="s">
        <v>48</v>
      </c>
      <c r="E244" s="7" t="s">
        <v>18</v>
      </c>
      <c r="F244" s="7" t="s">
        <v>41</v>
      </c>
      <c r="G244" s="9">
        <v>6</v>
      </c>
      <c r="H244" s="10">
        <v>2800</v>
      </c>
      <c r="I244" s="11">
        <v>0.1</v>
      </c>
      <c r="J244" s="10">
        <f t="shared" si="12"/>
        <v>16800</v>
      </c>
      <c r="K244" s="10">
        <f t="shared" si="13"/>
        <v>15120</v>
      </c>
      <c r="L244" s="10">
        <v>1682.19</v>
      </c>
      <c r="M244" s="10">
        <f t="shared" si="14"/>
        <v>5026.8600000000006</v>
      </c>
      <c r="N244" t="str">
        <f t="shared" si="15"/>
        <v>Meta Cumplida</v>
      </c>
    </row>
    <row r="245" spans="1:14" ht="15" customHeight="1" x14ac:dyDescent="0.25">
      <c r="A245" s="2" t="s">
        <v>463</v>
      </c>
      <c r="B245" s="3" t="s">
        <v>464</v>
      </c>
      <c r="C245" s="2" t="s">
        <v>16</v>
      </c>
      <c r="D245" s="2" t="s">
        <v>23</v>
      </c>
      <c r="E245" s="2" t="s">
        <v>31</v>
      </c>
      <c r="F245" s="2" t="s">
        <v>32</v>
      </c>
      <c r="G245" s="4">
        <v>11</v>
      </c>
      <c r="H245" s="5">
        <v>480</v>
      </c>
      <c r="I245" s="6">
        <v>0</v>
      </c>
      <c r="J245" s="5">
        <f t="shared" si="12"/>
        <v>5280</v>
      </c>
      <c r="K245" s="5">
        <f t="shared" si="13"/>
        <v>5280</v>
      </c>
      <c r="L245" s="5">
        <v>322.43</v>
      </c>
      <c r="M245" s="5">
        <f t="shared" si="14"/>
        <v>1733.27</v>
      </c>
      <c r="N245" t="str">
        <f t="shared" si="15"/>
        <v>Meta Cumplida</v>
      </c>
    </row>
    <row r="246" spans="1:14" ht="15" customHeight="1" x14ac:dyDescent="0.25">
      <c r="A246" s="7" t="s">
        <v>465</v>
      </c>
      <c r="B246" s="8" t="s">
        <v>466</v>
      </c>
      <c r="C246" s="7" t="s">
        <v>35</v>
      </c>
      <c r="D246" s="7" t="s">
        <v>28</v>
      </c>
      <c r="E246" s="7" t="s">
        <v>36</v>
      </c>
      <c r="F246" s="7" t="s">
        <v>72</v>
      </c>
      <c r="G246" s="9">
        <v>1</v>
      </c>
      <c r="H246" s="10">
        <v>350</v>
      </c>
      <c r="I246" s="11">
        <v>0</v>
      </c>
      <c r="J246" s="10">
        <f t="shared" si="12"/>
        <v>350</v>
      </c>
      <c r="K246" s="10">
        <f t="shared" si="13"/>
        <v>350</v>
      </c>
      <c r="L246" s="10">
        <v>239</v>
      </c>
      <c r="M246" s="10">
        <f t="shared" si="14"/>
        <v>111</v>
      </c>
      <c r="N246" t="str">
        <f t="shared" si="15"/>
        <v>Meta No Alcanzada</v>
      </c>
    </row>
    <row r="247" spans="1:14" ht="15" customHeight="1" x14ac:dyDescent="0.25">
      <c r="A247" s="2" t="s">
        <v>467</v>
      </c>
      <c r="B247" s="3" t="s">
        <v>468</v>
      </c>
      <c r="C247" s="2" t="s">
        <v>22</v>
      </c>
      <c r="D247" s="2" t="s">
        <v>23</v>
      </c>
      <c r="E247" s="2" t="s">
        <v>49</v>
      </c>
      <c r="F247" s="2" t="s">
        <v>65</v>
      </c>
      <c r="G247" s="4">
        <v>5</v>
      </c>
      <c r="H247" s="5">
        <v>220</v>
      </c>
      <c r="I247" s="6">
        <v>0</v>
      </c>
      <c r="J247" s="5">
        <f t="shared" si="12"/>
        <v>1100</v>
      </c>
      <c r="K247" s="5">
        <f t="shared" si="13"/>
        <v>1100</v>
      </c>
      <c r="L247" s="5">
        <v>145.86000000000001</v>
      </c>
      <c r="M247" s="5">
        <f t="shared" si="14"/>
        <v>370.69999999999993</v>
      </c>
      <c r="N247" t="str">
        <f t="shared" si="15"/>
        <v>Meta No Alcanzada</v>
      </c>
    </row>
    <row r="248" spans="1:14" ht="15" customHeight="1" x14ac:dyDescent="0.25">
      <c r="A248" s="7" t="s">
        <v>469</v>
      </c>
      <c r="B248" s="8" t="s">
        <v>459</v>
      </c>
      <c r="C248" s="7" t="s">
        <v>44</v>
      </c>
      <c r="D248" s="7" t="s">
        <v>59</v>
      </c>
      <c r="E248" s="7" t="s">
        <v>49</v>
      </c>
      <c r="F248" s="7" t="s">
        <v>127</v>
      </c>
      <c r="G248" s="9">
        <v>6</v>
      </c>
      <c r="H248" s="10">
        <v>180</v>
      </c>
      <c r="I248" s="11">
        <v>0</v>
      </c>
      <c r="J248" s="10">
        <f t="shared" si="12"/>
        <v>1080</v>
      </c>
      <c r="K248" s="10">
        <f t="shared" si="13"/>
        <v>1080</v>
      </c>
      <c r="L248" s="10">
        <v>102.36</v>
      </c>
      <c r="M248" s="10">
        <f t="shared" si="14"/>
        <v>465.84000000000003</v>
      </c>
      <c r="N248" t="str">
        <f t="shared" si="15"/>
        <v>Meta No Alcanzada</v>
      </c>
    </row>
    <row r="249" spans="1:14" ht="15" customHeight="1" x14ac:dyDescent="0.25">
      <c r="A249" s="2" t="s">
        <v>470</v>
      </c>
      <c r="B249" s="3" t="s">
        <v>471</v>
      </c>
      <c r="C249" s="2" t="s">
        <v>16</v>
      </c>
      <c r="D249" s="2" t="s">
        <v>23</v>
      </c>
      <c r="E249" s="2" t="s">
        <v>36</v>
      </c>
      <c r="F249" s="2" t="s">
        <v>170</v>
      </c>
      <c r="G249" s="4">
        <v>15</v>
      </c>
      <c r="H249" s="5">
        <v>480</v>
      </c>
      <c r="I249" s="6">
        <v>0.05</v>
      </c>
      <c r="J249" s="5">
        <f t="shared" si="12"/>
        <v>7200</v>
      </c>
      <c r="K249" s="5">
        <f t="shared" si="13"/>
        <v>6840</v>
      </c>
      <c r="L249" s="5">
        <v>288.41000000000003</v>
      </c>
      <c r="M249" s="5">
        <f t="shared" si="14"/>
        <v>2513.8499999999995</v>
      </c>
      <c r="N249" t="str">
        <f t="shared" si="15"/>
        <v>Meta Cumplida</v>
      </c>
    </row>
    <row r="250" spans="1:14" ht="15" customHeight="1" x14ac:dyDescent="0.25">
      <c r="A250" s="7" t="s">
        <v>472</v>
      </c>
      <c r="B250" s="8" t="s">
        <v>464</v>
      </c>
      <c r="C250" s="7" t="s">
        <v>35</v>
      </c>
      <c r="D250" s="7" t="s">
        <v>40</v>
      </c>
      <c r="E250" s="7" t="s">
        <v>36</v>
      </c>
      <c r="F250" s="7" t="s">
        <v>170</v>
      </c>
      <c r="G250" s="9">
        <v>5</v>
      </c>
      <c r="H250" s="10">
        <v>480</v>
      </c>
      <c r="I250" s="11">
        <v>0</v>
      </c>
      <c r="J250" s="10">
        <f t="shared" si="12"/>
        <v>2400</v>
      </c>
      <c r="K250" s="10">
        <f t="shared" si="13"/>
        <v>2400</v>
      </c>
      <c r="L250" s="10">
        <v>316.35000000000002</v>
      </c>
      <c r="M250" s="10">
        <f t="shared" si="14"/>
        <v>818.25</v>
      </c>
      <c r="N250" t="str">
        <f t="shared" si="15"/>
        <v>Meta No Alcanzada</v>
      </c>
    </row>
    <row r="251" spans="1:14" ht="15" customHeight="1" x14ac:dyDescent="0.25">
      <c r="A251" s="2" t="s">
        <v>473</v>
      </c>
      <c r="B251" s="3" t="s">
        <v>474</v>
      </c>
      <c r="C251" s="2" t="s">
        <v>22</v>
      </c>
      <c r="D251" s="2" t="s">
        <v>17</v>
      </c>
      <c r="E251" s="2" t="s">
        <v>36</v>
      </c>
      <c r="F251" s="2" t="s">
        <v>150</v>
      </c>
      <c r="G251" s="4">
        <v>6</v>
      </c>
      <c r="H251" s="5">
        <v>90</v>
      </c>
      <c r="I251" s="6">
        <v>0</v>
      </c>
      <c r="J251" s="5">
        <f t="shared" si="12"/>
        <v>540</v>
      </c>
      <c r="K251" s="5">
        <f t="shared" si="13"/>
        <v>540</v>
      </c>
      <c r="L251" s="5">
        <v>50.58</v>
      </c>
      <c r="M251" s="5">
        <f t="shared" si="14"/>
        <v>236.51999999999998</v>
      </c>
      <c r="N251" t="str">
        <f t="shared" si="15"/>
        <v>Meta No Alcanzada</v>
      </c>
    </row>
    <row r="252" spans="1:14" ht="15" customHeight="1" x14ac:dyDescent="0.25">
      <c r="A252" s="7" t="s">
        <v>475</v>
      </c>
      <c r="B252" s="8" t="s">
        <v>476</v>
      </c>
      <c r="C252" s="7" t="s">
        <v>67</v>
      </c>
      <c r="D252" s="7" t="s">
        <v>40</v>
      </c>
      <c r="E252" s="7" t="s">
        <v>49</v>
      </c>
      <c r="F252" s="7" t="s">
        <v>127</v>
      </c>
      <c r="G252" s="9">
        <v>12</v>
      </c>
      <c r="H252" s="10">
        <v>180</v>
      </c>
      <c r="I252" s="11">
        <v>0.05</v>
      </c>
      <c r="J252" s="10">
        <f t="shared" si="12"/>
        <v>2160</v>
      </c>
      <c r="K252" s="10">
        <f t="shared" si="13"/>
        <v>2052</v>
      </c>
      <c r="L252" s="10">
        <v>103.5</v>
      </c>
      <c r="M252" s="10">
        <f t="shared" si="14"/>
        <v>810</v>
      </c>
      <c r="N252" t="str">
        <f t="shared" si="15"/>
        <v>Meta No Alcanzada</v>
      </c>
    </row>
    <row r="253" spans="1:14" ht="15" customHeight="1" x14ac:dyDescent="0.25">
      <c r="A253" s="2" t="s">
        <v>477</v>
      </c>
      <c r="B253" s="3" t="s">
        <v>478</v>
      </c>
      <c r="C253" s="2" t="s">
        <v>44</v>
      </c>
      <c r="D253" s="2" t="s">
        <v>59</v>
      </c>
      <c r="E253" s="2" t="s">
        <v>49</v>
      </c>
      <c r="F253" s="2" t="s">
        <v>65</v>
      </c>
      <c r="G253" s="4">
        <v>14</v>
      </c>
      <c r="H253" s="5">
        <v>220</v>
      </c>
      <c r="I253" s="6">
        <v>0</v>
      </c>
      <c r="J253" s="5">
        <f t="shared" si="12"/>
        <v>3080</v>
      </c>
      <c r="K253" s="5">
        <f t="shared" si="13"/>
        <v>3080</v>
      </c>
      <c r="L253" s="5">
        <v>141.29</v>
      </c>
      <c r="M253" s="5">
        <f t="shared" si="14"/>
        <v>1101.94</v>
      </c>
      <c r="N253" t="str">
        <f t="shared" si="15"/>
        <v>Meta No Alcanzada</v>
      </c>
    </row>
    <row r="254" spans="1:14" ht="15" customHeight="1" x14ac:dyDescent="0.25">
      <c r="A254" s="7" t="s">
        <v>479</v>
      </c>
      <c r="B254" s="8" t="s">
        <v>480</v>
      </c>
      <c r="C254" s="7" t="s">
        <v>44</v>
      </c>
      <c r="D254" s="7" t="s">
        <v>59</v>
      </c>
      <c r="E254" s="7" t="s">
        <v>49</v>
      </c>
      <c r="F254" s="7" t="s">
        <v>93</v>
      </c>
      <c r="G254" s="9">
        <v>11</v>
      </c>
      <c r="H254" s="10">
        <v>120</v>
      </c>
      <c r="I254" s="11">
        <v>0.05</v>
      </c>
      <c r="J254" s="10">
        <f t="shared" si="12"/>
        <v>1320</v>
      </c>
      <c r="K254" s="10">
        <f t="shared" si="13"/>
        <v>1254</v>
      </c>
      <c r="L254" s="10">
        <v>72.540000000000006</v>
      </c>
      <c r="M254" s="10">
        <f t="shared" si="14"/>
        <v>456.05999999999995</v>
      </c>
      <c r="N254" t="str">
        <f t="shared" si="15"/>
        <v>Meta No Alcanzada</v>
      </c>
    </row>
    <row r="255" spans="1:14" ht="15" customHeight="1" x14ac:dyDescent="0.25">
      <c r="A255" s="2" t="s">
        <v>481</v>
      </c>
      <c r="B255" s="3" t="s">
        <v>464</v>
      </c>
      <c r="C255" s="2" t="s">
        <v>80</v>
      </c>
      <c r="D255" s="2" t="s">
        <v>40</v>
      </c>
      <c r="E255" s="2" t="s">
        <v>31</v>
      </c>
      <c r="F255" s="2" t="s">
        <v>116</v>
      </c>
      <c r="G255" s="4">
        <v>11</v>
      </c>
      <c r="H255" s="5">
        <v>650</v>
      </c>
      <c r="I255" s="6">
        <v>0.05</v>
      </c>
      <c r="J255" s="5">
        <f t="shared" si="12"/>
        <v>7150</v>
      </c>
      <c r="K255" s="5">
        <f t="shared" si="13"/>
        <v>6792.5</v>
      </c>
      <c r="L255" s="5">
        <v>360.89</v>
      </c>
      <c r="M255" s="5">
        <f t="shared" si="14"/>
        <v>2822.71</v>
      </c>
      <c r="N255" t="str">
        <f t="shared" si="15"/>
        <v>Meta Cumplida</v>
      </c>
    </row>
    <row r="256" spans="1:14" ht="15" customHeight="1" x14ac:dyDescent="0.25">
      <c r="A256" s="7" t="s">
        <v>482</v>
      </c>
      <c r="B256" s="8" t="s">
        <v>474</v>
      </c>
      <c r="C256" s="7" t="s">
        <v>35</v>
      </c>
      <c r="D256" s="7" t="s">
        <v>23</v>
      </c>
      <c r="E256" s="7" t="s">
        <v>31</v>
      </c>
      <c r="F256" s="7" t="s">
        <v>56</v>
      </c>
      <c r="G256" s="9">
        <v>10</v>
      </c>
      <c r="H256" s="10">
        <v>1200</v>
      </c>
      <c r="I256" s="11">
        <v>0</v>
      </c>
      <c r="J256" s="10">
        <f t="shared" si="12"/>
        <v>12000</v>
      </c>
      <c r="K256" s="10">
        <f t="shared" si="13"/>
        <v>12000</v>
      </c>
      <c r="L256" s="10">
        <v>768.92</v>
      </c>
      <c r="M256" s="10">
        <f t="shared" si="14"/>
        <v>4310.8</v>
      </c>
      <c r="N256" t="str">
        <f t="shared" si="15"/>
        <v>Meta Cumplida</v>
      </c>
    </row>
    <row r="257" spans="1:14" ht="15" customHeight="1" x14ac:dyDescent="0.25">
      <c r="A257" s="2" t="s">
        <v>483</v>
      </c>
      <c r="B257" s="3" t="s">
        <v>484</v>
      </c>
      <c r="C257" s="2" t="s">
        <v>35</v>
      </c>
      <c r="D257" s="2" t="s">
        <v>23</v>
      </c>
      <c r="E257" s="2" t="s">
        <v>36</v>
      </c>
      <c r="F257" s="2" t="s">
        <v>37</v>
      </c>
      <c r="G257" s="4">
        <v>13</v>
      </c>
      <c r="H257" s="5">
        <v>1800</v>
      </c>
      <c r="I257" s="6">
        <v>0</v>
      </c>
      <c r="J257" s="5">
        <f t="shared" si="12"/>
        <v>23400</v>
      </c>
      <c r="K257" s="5">
        <f t="shared" si="13"/>
        <v>23400</v>
      </c>
      <c r="L257" s="5">
        <v>1144.96</v>
      </c>
      <c r="M257" s="5">
        <f t="shared" si="14"/>
        <v>8515.52</v>
      </c>
      <c r="N257" t="str">
        <f t="shared" si="15"/>
        <v>Meta Cumplida</v>
      </c>
    </row>
    <row r="258" spans="1:14" ht="15" customHeight="1" x14ac:dyDescent="0.25">
      <c r="A258" s="7" t="s">
        <v>485</v>
      </c>
      <c r="B258" s="8" t="s">
        <v>486</v>
      </c>
      <c r="C258" s="7" t="s">
        <v>35</v>
      </c>
      <c r="D258" s="7" t="s">
        <v>59</v>
      </c>
      <c r="E258" s="7" t="s">
        <v>49</v>
      </c>
      <c r="F258" s="7" t="s">
        <v>65</v>
      </c>
      <c r="G258" s="9">
        <v>5</v>
      </c>
      <c r="H258" s="10">
        <v>220</v>
      </c>
      <c r="I258" s="11">
        <v>0</v>
      </c>
      <c r="J258" s="10">
        <f t="shared" si="12"/>
        <v>1100</v>
      </c>
      <c r="K258" s="10">
        <f t="shared" si="13"/>
        <v>1100</v>
      </c>
      <c r="L258" s="10">
        <v>152.69999999999999</v>
      </c>
      <c r="M258" s="10">
        <f t="shared" si="14"/>
        <v>336.5</v>
      </c>
      <c r="N258" t="str">
        <f t="shared" si="15"/>
        <v>Meta No Alcanzada</v>
      </c>
    </row>
    <row r="259" spans="1:14" ht="15" customHeight="1" x14ac:dyDescent="0.25">
      <c r="A259" s="2" t="s">
        <v>487</v>
      </c>
      <c r="B259" s="3" t="s">
        <v>488</v>
      </c>
      <c r="C259" s="2" t="s">
        <v>22</v>
      </c>
      <c r="D259" s="2" t="s">
        <v>23</v>
      </c>
      <c r="E259" s="2" t="s">
        <v>31</v>
      </c>
      <c r="F259" s="2" t="s">
        <v>32</v>
      </c>
      <c r="G259" s="4">
        <v>15</v>
      </c>
      <c r="H259" s="5">
        <v>480</v>
      </c>
      <c r="I259" s="6">
        <v>0.1</v>
      </c>
      <c r="J259" s="5">
        <f t="shared" ref="J259:J281" si="16">G259*H259</f>
        <v>7200</v>
      </c>
      <c r="K259" s="5">
        <f t="shared" ref="K259:K281" si="17">J259*(1-I259)</f>
        <v>6480</v>
      </c>
      <c r="L259" s="5">
        <v>272.48</v>
      </c>
      <c r="M259" s="5">
        <f t="shared" ref="M259:M281" si="18">K259-G259*L259</f>
        <v>2392.7999999999997</v>
      </c>
      <c r="N259" t="str">
        <f t="shared" si="15"/>
        <v>Meta Cumplida</v>
      </c>
    </row>
    <row r="260" spans="1:14" ht="15" customHeight="1" x14ac:dyDescent="0.25">
      <c r="A260" s="7" t="s">
        <v>489</v>
      </c>
      <c r="B260" s="8" t="s">
        <v>490</v>
      </c>
      <c r="C260" s="7" t="s">
        <v>80</v>
      </c>
      <c r="D260" s="7" t="s">
        <v>40</v>
      </c>
      <c r="E260" s="7" t="s">
        <v>49</v>
      </c>
      <c r="F260" s="7" t="s">
        <v>65</v>
      </c>
      <c r="G260" s="9">
        <v>5</v>
      </c>
      <c r="H260" s="10">
        <v>220</v>
      </c>
      <c r="I260" s="11">
        <v>0.15</v>
      </c>
      <c r="J260" s="10">
        <f t="shared" si="16"/>
        <v>1100</v>
      </c>
      <c r="K260" s="10">
        <f t="shared" si="17"/>
        <v>935</v>
      </c>
      <c r="L260" s="10">
        <v>151.24</v>
      </c>
      <c r="M260" s="10">
        <f t="shared" si="18"/>
        <v>178.79999999999995</v>
      </c>
      <c r="N260" t="str">
        <f t="shared" ref="N260:N281" si="19">IF(K260&gt;=5000,"Meta Cumplida","Meta No Alcanzada")</f>
        <v>Meta No Alcanzada</v>
      </c>
    </row>
    <row r="261" spans="1:14" ht="15" customHeight="1" x14ac:dyDescent="0.25">
      <c r="A261" s="2" t="s">
        <v>491</v>
      </c>
      <c r="B261" s="3" t="s">
        <v>492</v>
      </c>
      <c r="C261" s="2" t="s">
        <v>44</v>
      </c>
      <c r="D261" s="2" t="s">
        <v>23</v>
      </c>
      <c r="E261" s="2" t="s">
        <v>18</v>
      </c>
      <c r="F261" s="2" t="s">
        <v>53</v>
      </c>
      <c r="G261" s="4">
        <v>3</v>
      </c>
      <c r="H261" s="5">
        <v>2200</v>
      </c>
      <c r="I261" s="6">
        <v>0.15</v>
      </c>
      <c r="J261" s="5">
        <f t="shared" si="16"/>
        <v>6600</v>
      </c>
      <c r="K261" s="5">
        <f t="shared" si="17"/>
        <v>5610</v>
      </c>
      <c r="L261" s="5">
        <v>1356.89</v>
      </c>
      <c r="M261" s="5">
        <f t="shared" si="18"/>
        <v>1539.33</v>
      </c>
      <c r="N261" t="str">
        <f t="shared" si="19"/>
        <v>Meta Cumplida</v>
      </c>
    </row>
    <row r="262" spans="1:14" ht="15" customHeight="1" x14ac:dyDescent="0.25">
      <c r="A262" s="7" t="s">
        <v>493</v>
      </c>
      <c r="B262" s="8" t="s">
        <v>494</v>
      </c>
      <c r="C262" s="7" t="s">
        <v>16</v>
      </c>
      <c r="D262" s="7" t="s">
        <v>48</v>
      </c>
      <c r="E262" s="7" t="s">
        <v>49</v>
      </c>
      <c r="F262" s="7" t="s">
        <v>127</v>
      </c>
      <c r="G262" s="9">
        <v>9</v>
      </c>
      <c r="H262" s="10">
        <v>180</v>
      </c>
      <c r="I262" s="11">
        <v>0.1</v>
      </c>
      <c r="J262" s="10">
        <f t="shared" si="16"/>
        <v>1620</v>
      </c>
      <c r="K262" s="10">
        <f t="shared" si="17"/>
        <v>1458</v>
      </c>
      <c r="L262" s="10">
        <v>106.84</v>
      </c>
      <c r="M262" s="10">
        <f t="shared" si="18"/>
        <v>496.43999999999994</v>
      </c>
      <c r="N262" t="str">
        <f t="shared" si="19"/>
        <v>Meta No Alcanzada</v>
      </c>
    </row>
    <row r="263" spans="1:14" ht="15" customHeight="1" x14ac:dyDescent="0.25">
      <c r="A263" s="2" t="s">
        <v>495</v>
      </c>
      <c r="B263" s="3" t="s">
        <v>496</v>
      </c>
      <c r="C263" s="2" t="s">
        <v>35</v>
      </c>
      <c r="D263" s="2" t="s">
        <v>40</v>
      </c>
      <c r="E263" s="2" t="s">
        <v>31</v>
      </c>
      <c r="F263" s="2" t="s">
        <v>90</v>
      </c>
      <c r="G263" s="4">
        <v>4</v>
      </c>
      <c r="H263" s="5">
        <v>850</v>
      </c>
      <c r="I263" s="6">
        <v>0</v>
      </c>
      <c r="J263" s="5">
        <f t="shared" si="16"/>
        <v>3400</v>
      </c>
      <c r="K263" s="5">
        <f t="shared" si="17"/>
        <v>3400</v>
      </c>
      <c r="L263" s="5">
        <v>593.1</v>
      </c>
      <c r="M263" s="5">
        <f t="shared" si="18"/>
        <v>1027.5999999999999</v>
      </c>
      <c r="N263" t="str">
        <f t="shared" si="19"/>
        <v>Meta No Alcanzada</v>
      </c>
    </row>
    <row r="264" spans="1:14" ht="15" customHeight="1" x14ac:dyDescent="0.25">
      <c r="A264" s="7" t="s">
        <v>497</v>
      </c>
      <c r="B264" s="8" t="s">
        <v>498</v>
      </c>
      <c r="C264" s="7" t="s">
        <v>67</v>
      </c>
      <c r="D264" s="7" t="s">
        <v>48</v>
      </c>
      <c r="E264" s="7" t="s">
        <v>31</v>
      </c>
      <c r="F264" s="7" t="s">
        <v>90</v>
      </c>
      <c r="G264" s="9">
        <v>6</v>
      </c>
      <c r="H264" s="10">
        <v>850</v>
      </c>
      <c r="I264" s="11">
        <v>0.1</v>
      </c>
      <c r="J264" s="10">
        <f t="shared" si="16"/>
        <v>5100</v>
      </c>
      <c r="K264" s="10">
        <f t="shared" si="17"/>
        <v>4590</v>
      </c>
      <c r="L264" s="10">
        <v>540.47</v>
      </c>
      <c r="M264" s="10">
        <f t="shared" si="18"/>
        <v>1347.1799999999998</v>
      </c>
      <c r="N264" t="str">
        <f t="shared" si="19"/>
        <v>Meta No Alcanzada</v>
      </c>
    </row>
    <row r="265" spans="1:14" ht="15" customHeight="1" x14ac:dyDescent="0.25">
      <c r="A265" s="2" t="s">
        <v>499</v>
      </c>
      <c r="B265" s="3" t="s">
        <v>500</v>
      </c>
      <c r="C265" s="2" t="s">
        <v>22</v>
      </c>
      <c r="D265" s="2" t="s">
        <v>48</v>
      </c>
      <c r="E265" s="2" t="s">
        <v>24</v>
      </c>
      <c r="F265" s="2" t="s">
        <v>62</v>
      </c>
      <c r="G265" s="4">
        <v>2</v>
      </c>
      <c r="H265" s="5">
        <v>220</v>
      </c>
      <c r="I265" s="6">
        <v>0</v>
      </c>
      <c r="J265" s="5">
        <f t="shared" si="16"/>
        <v>440</v>
      </c>
      <c r="K265" s="5">
        <f t="shared" si="17"/>
        <v>440</v>
      </c>
      <c r="L265" s="5">
        <v>134.13999999999999</v>
      </c>
      <c r="M265" s="5">
        <f t="shared" si="18"/>
        <v>171.72000000000003</v>
      </c>
      <c r="N265" t="str">
        <f t="shared" si="19"/>
        <v>Meta No Alcanzada</v>
      </c>
    </row>
    <row r="266" spans="1:14" ht="15" customHeight="1" x14ac:dyDescent="0.25">
      <c r="A266" s="7" t="s">
        <v>501</v>
      </c>
      <c r="B266" s="8" t="s">
        <v>502</v>
      </c>
      <c r="C266" s="7" t="s">
        <v>67</v>
      </c>
      <c r="D266" s="7" t="s">
        <v>40</v>
      </c>
      <c r="E266" s="7" t="s">
        <v>36</v>
      </c>
      <c r="F266" s="7" t="s">
        <v>170</v>
      </c>
      <c r="G266" s="9">
        <v>2</v>
      </c>
      <c r="H266" s="10">
        <v>480</v>
      </c>
      <c r="I266" s="11">
        <v>0</v>
      </c>
      <c r="J266" s="10">
        <f t="shared" si="16"/>
        <v>960</v>
      </c>
      <c r="K266" s="10">
        <f t="shared" si="17"/>
        <v>960</v>
      </c>
      <c r="L266" s="10">
        <v>334.01</v>
      </c>
      <c r="M266" s="10">
        <f t="shared" si="18"/>
        <v>291.98</v>
      </c>
      <c r="N266" t="str">
        <f t="shared" si="19"/>
        <v>Meta No Alcanzada</v>
      </c>
    </row>
    <row r="267" spans="1:14" ht="15" customHeight="1" x14ac:dyDescent="0.25">
      <c r="A267" s="2" t="s">
        <v>503</v>
      </c>
      <c r="B267" s="3" t="s">
        <v>504</v>
      </c>
      <c r="C267" s="2" t="s">
        <v>67</v>
      </c>
      <c r="D267" s="2" t="s">
        <v>59</v>
      </c>
      <c r="E267" s="2" t="s">
        <v>18</v>
      </c>
      <c r="F267" s="2" t="s">
        <v>45</v>
      </c>
      <c r="G267" s="4">
        <v>9</v>
      </c>
      <c r="H267" s="5">
        <v>2100</v>
      </c>
      <c r="I267" s="6">
        <v>0</v>
      </c>
      <c r="J267" s="5">
        <f t="shared" si="16"/>
        <v>18900</v>
      </c>
      <c r="K267" s="5">
        <f t="shared" si="17"/>
        <v>18900</v>
      </c>
      <c r="L267" s="5">
        <v>1195.43</v>
      </c>
      <c r="M267" s="5">
        <f t="shared" si="18"/>
        <v>8141.1299999999992</v>
      </c>
      <c r="N267" t="str">
        <f t="shared" si="19"/>
        <v>Meta Cumplida</v>
      </c>
    </row>
    <row r="268" spans="1:14" ht="15" customHeight="1" x14ac:dyDescent="0.25">
      <c r="A268" s="7" t="s">
        <v>505</v>
      </c>
      <c r="B268" s="8" t="s">
        <v>506</v>
      </c>
      <c r="C268" s="7" t="s">
        <v>80</v>
      </c>
      <c r="D268" s="7" t="s">
        <v>23</v>
      </c>
      <c r="E268" s="7" t="s">
        <v>24</v>
      </c>
      <c r="F268" s="7" t="s">
        <v>62</v>
      </c>
      <c r="G268" s="9">
        <v>9</v>
      </c>
      <c r="H268" s="10">
        <v>220</v>
      </c>
      <c r="I268" s="11">
        <v>0</v>
      </c>
      <c r="J268" s="10">
        <f t="shared" si="16"/>
        <v>1980</v>
      </c>
      <c r="K268" s="10">
        <f t="shared" si="17"/>
        <v>1980</v>
      </c>
      <c r="L268" s="10">
        <v>148.44</v>
      </c>
      <c r="M268" s="10">
        <f t="shared" si="18"/>
        <v>644.04</v>
      </c>
      <c r="N268" t="str">
        <f t="shared" si="19"/>
        <v>Meta No Alcanzada</v>
      </c>
    </row>
    <row r="269" spans="1:14" ht="15" customHeight="1" x14ac:dyDescent="0.25">
      <c r="A269" s="2" t="s">
        <v>507</v>
      </c>
      <c r="B269" s="3" t="s">
        <v>506</v>
      </c>
      <c r="C269" s="2" t="s">
        <v>80</v>
      </c>
      <c r="D269" s="2" t="s">
        <v>28</v>
      </c>
      <c r="E269" s="2" t="s">
        <v>31</v>
      </c>
      <c r="F269" s="2" t="s">
        <v>56</v>
      </c>
      <c r="G269" s="4">
        <v>6</v>
      </c>
      <c r="H269" s="5">
        <v>1200</v>
      </c>
      <c r="I269" s="6">
        <v>0.15</v>
      </c>
      <c r="J269" s="5">
        <f t="shared" si="16"/>
        <v>7200</v>
      </c>
      <c r="K269" s="5">
        <f t="shared" si="17"/>
        <v>6120</v>
      </c>
      <c r="L269" s="5">
        <v>700.58</v>
      </c>
      <c r="M269" s="5">
        <f t="shared" si="18"/>
        <v>1916.5199999999995</v>
      </c>
      <c r="N269" t="str">
        <f t="shared" si="19"/>
        <v>Meta Cumplida</v>
      </c>
    </row>
    <row r="270" spans="1:14" ht="15" customHeight="1" x14ac:dyDescent="0.25">
      <c r="A270" s="7" t="s">
        <v>508</v>
      </c>
      <c r="B270" s="8" t="s">
        <v>502</v>
      </c>
      <c r="C270" s="7" t="s">
        <v>35</v>
      </c>
      <c r="D270" s="7" t="s">
        <v>28</v>
      </c>
      <c r="E270" s="7" t="s">
        <v>49</v>
      </c>
      <c r="F270" s="7" t="s">
        <v>93</v>
      </c>
      <c r="G270" s="9">
        <v>11</v>
      </c>
      <c r="H270" s="10">
        <v>120</v>
      </c>
      <c r="I270" s="11">
        <v>0.1</v>
      </c>
      <c r="J270" s="10">
        <f t="shared" si="16"/>
        <v>1320</v>
      </c>
      <c r="K270" s="10">
        <f t="shared" si="17"/>
        <v>1188</v>
      </c>
      <c r="L270" s="10">
        <v>70.94</v>
      </c>
      <c r="M270" s="10">
        <f t="shared" si="18"/>
        <v>407.66000000000008</v>
      </c>
      <c r="N270" t="str">
        <f t="shared" si="19"/>
        <v>Meta No Alcanzada</v>
      </c>
    </row>
    <row r="271" spans="1:14" ht="15" customHeight="1" x14ac:dyDescent="0.25">
      <c r="A271" s="2" t="s">
        <v>509</v>
      </c>
      <c r="B271" s="3" t="s">
        <v>510</v>
      </c>
      <c r="C271" s="2" t="s">
        <v>22</v>
      </c>
      <c r="D271" s="2" t="s">
        <v>59</v>
      </c>
      <c r="E271" s="2" t="s">
        <v>49</v>
      </c>
      <c r="F271" s="2" t="s">
        <v>93</v>
      </c>
      <c r="G271" s="4">
        <v>3</v>
      </c>
      <c r="H271" s="5">
        <v>120</v>
      </c>
      <c r="I271" s="6">
        <v>0.1</v>
      </c>
      <c r="J271" s="5">
        <f t="shared" si="16"/>
        <v>360</v>
      </c>
      <c r="K271" s="5">
        <f t="shared" si="17"/>
        <v>324</v>
      </c>
      <c r="L271" s="5">
        <v>82.95</v>
      </c>
      <c r="M271" s="5">
        <f t="shared" si="18"/>
        <v>75.149999999999977</v>
      </c>
      <c r="N271" t="str">
        <f t="shared" si="19"/>
        <v>Meta No Alcanzada</v>
      </c>
    </row>
    <row r="272" spans="1:14" ht="15" customHeight="1" x14ac:dyDescent="0.25">
      <c r="A272" s="7" t="s">
        <v>511</v>
      </c>
      <c r="B272" s="8" t="s">
        <v>502</v>
      </c>
      <c r="C272" s="7" t="s">
        <v>22</v>
      </c>
      <c r="D272" s="7" t="s">
        <v>48</v>
      </c>
      <c r="E272" s="7" t="s">
        <v>31</v>
      </c>
      <c r="F272" s="7" t="s">
        <v>56</v>
      </c>
      <c r="G272" s="9">
        <v>14</v>
      </c>
      <c r="H272" s="10">
        <v>1200</v>
      </c>
      <c r="I272" s="11">
        <v>0</v>
      </c>
      <c r="J272" s="10">
        <f t="shared" si="16"/>
        <v>16800</v>
      </c>
      <c r="K272" s="10">
        <f t="shared" si="17"/>
        <v>16800</v>
      </c>
      <c r="L272" s="10">
        <v>674.62</v>
      </c>
      <c r="M272" s="10">
        <f t="shared" si="18"/>
        <v>7355.32</v>
      </c>
      <c r="N272" t="str">
        <f t="shared" si="19"/>
        <v>Meta Cumplida</v>
      </c>
    </row>
    <row r="273" spans="1:14" ht="15" customHeight="1" x14ac:dyDescent="0.25">
      <c r="A273" s="2" t="s">
        <v>512</v>
      </c>
      <c r="B273" s="3" t="s">
        <v>502</v>
      </c>
      <c r="C273" s="2" t="s">
        <v>16</v>
      </c>
      <c r="D273" s="2" t="s">
        <v>28</v>
      </c>
      <c r="E273" s="2" t="s">
        <v>24</v>
      </c>
      <c r="F273" s="2" t="s">
        <v>69</v>
      </c>
      <c r="G273" s="4">
        <v>13</v>
      </c>
      <c r="H273" s="5">
        <v>95</v>
      </c>
      <c r="I273" s="6">
        <v>0.1</v>
      </c>
      <c r="J273" s="5">
        <f t="shared" si="16"/>
        <v>1235</v>
      </c>
      <c r="K273" s="5">
        <f t="shared" si="17"/>
        <v>1111.5</v>
      </c>
      <c r="L273" s="5">
        <v>58.19</v>
      </c>
      <c r="M273" s="5">
        <f t="shared" si="18"/>
        <v>355.03</v>
      </c>
      <c r="N273" t="str">
        <f t="shared" si="19"/>
        <v>Meta No Alcanzada</v>
      </c>
    </row>
    <row r="274" spans="1:14" ht="15" customHeight="1" x14ac:dyDescent="0.25">
      <c r="A274" s="7" t="s">
        <v>513</v>
      </c>
      <c r="B274" s="8" t="s">
        <v>514</v>
      </c>
      <c r="C274" s="7" t="s">
        <v>16</v>
      </c>
      <c r="D274" s="7" t="s">
        <v>40</v>
      </c>
      <c r="E274" s="7" t="s">
        <v>18</v>
      </c>
      <c r="F274" s="7" t="s">
        <v>45</v>
      </c>
      <c r="G274" s="9">
        <v>5</v>
      </c>
      <c r="H274" s="10">
        <v>2100</v>
      </c>
      <c r="I274" s="11">
        <v>0.15</v>
      </c>
      <c r="J274" s="10">
        <f t="shared" si="16"/>
        <v>10500</v>
      </c>
      <c r="K274" s="10">
        <f t="shared" si="17"/>
        <v>8925</v>
      </c>
      <c r="L274" s="10">
        <v>1456.34</v>
      </c>
      <c r="M274" s="10">
        <f t="shared" si="18"/>
        <v>1643.3000000000002</v>
      </c>
      <c r="N274" t="str">
        <f t="shared" si="19"/>
        <v>Meta Cumplida</v>
      </c>
    </row>
    <row r="275" spans="1:14" ht="15" customHeight="1" x14ac:dyDescent="0.25">
      <c r="A275" s="2" t="s">
        <v>515</v>
      </c>
      <c r="B275" s="3" t="s">
        <v>498</v>
      </c>
      <c r="C275" s="2" t="s">
        <v>35</v>
      </c>
      <c r="D275" s="2" t="s">
        <v>23</v>
      </c>
      <c r="E275" s="2" t="s">
        <v>31</v>
      </c>
      <c r="F275" s="2" t="s">
        <v>32</v>
      </c>
      <c r="G275" s="4">
        <v>2</v>
      </c>
      <c r="H275" s="5">
        <v>480</v>
      </c>
      <c r="I275" s="6">
        <v>0.15</v>
      </c>
      <c r="J275" s="5">
        <f t="shared" si="16"/>
        <v>960</v>
      </c>
      <c r="K275" s="5">
        <f t="shared" si="17"/>
        <v>816</v>
      </c>
      <c r="L275" s="5">
        <v>268.31</v>
      </c>
      <c r="M275" s="5">
        <f t="shared" si="18"/>
        <v>279.38</v>
      </c>
      <c r="N275" t="str">
        <f t="shared" si="19"/>
        <v>Meta No Alcanzada</v>
      </c>
    </row>
    <row r="276" spans="1:14" ht="15" customHeight="1" x14ac:dyDescent="0.25">
      <c r="A276" s="7" t="s">
        <v>516</v>
      </c>
      <c r="B276" s="8" t="s">
        <v>517</v>
      </c>
      <c r="C276" s="7" t="s">
        <v>67</v>
      </c>
      <c r="D276" s="7" t="s">
        <v>28</v>
      </c>
      <c r="E276" s="7" t="s">
        <v>36</v>
      </c>
      <c r="F276" s="7" t="s">
        <v>170</v>
      </c>
      <c r="G276" s="9">
        <v>6</v>
      </c>
      <c r="H276" s="10">
        <v>480</v>
      </c>
      <c r="I276" s="11">
        <v>0.1</v>
      </c>
      <c r="J276" s="10">
        <f t="shared" si="16"/>
        <v>2880</v>
      </c>
      <c r="K276" s="10">
        <f t="shared" si="17"/>
        <v>2592</v>
      </c>
      <c r="L276" s="10">
        <v>274.33999999999997</v>
      </c>
      <c r="M276" s="10">
        <f t="shared" si="18"/>
        <v>945.96</v>
      </c>
      <c r="N276" t="str">
        <f t="shared" si="19"/>
        <v>Meta No Alcanzada</v>
      </c>
    </row>
    <row r="277" spans="1:14" ht="15" customHeight="1" x14ac:dyDescent="0.25">
      <c r="A277" s="2" t="s">
        <v>518</v>
      </c>
      <c r="B277" s="3" t="s">
        <v>519</v>
      </c>
      <c r="C277" s="2" t="s">
        <v>67</v>
      </c>
      <c r="D277" s="2" t="s">
        <v>28</v>
      </c>
      <c r="E277" s="2" t="s">
        <v>49</v>
      </c>
      <c r="F277" s="2" t="s">
        <v>127</v>
      </c>
      <c r="G277" s="4">
        <v>13</v>
      </c>
      <c r="H277" s="5">
        <v>180</v>
      </c>
      <c r="I277" s="6">
        <v>0</v>
      </c>
      <c r="J277" s="5">
        <f t="shared" si="16"/>
        <v>2340</v>
      </c>
      <c r="K277" s="5">
        <f t="shared" si="17"/>
        <v>2340</v>
      </c>
      <c r="L277" s="5">
        <v>112.9</v>
      </c>
      <c r="M277" s="5">
        <f t="shared" si="18"/>
        <v>872.3</v>
      </c>
      <c r="N277" t="str">
        <f t="shared" si="19"/>
        <v>Meta No Alcanzada</v>
      </c>
    </row>
    <row r="278" spans="1:14" ht="15" customHeight="1" x14ac:dyDescent="0.25">
      <c r="A278" s="7" t="s">
        <v>520</v>
      </c>
      <c r="B278" s="8" t="s">
        <v>519</v>
      </c>
      <c r="C278" s="7" t="s">
        <v>67</v>
      </c>
      <c r="D278" s="7" t="s">
        <v>48</v>
      </c>
      <c r="E278" s="7" t="s">
        <v>49</v>
      </c>
      <c r="F278" s="7" t="s">
        <v>50</v>
      </c>
      <c r="G278" s="9">
        <v>5</v>
      </c>
      <c r="H278" s="10">
        <v>85</v>
      </c>
      <c r="I278" s="11">
        <v>0.05</v>
      </c>
      <c r="J278" s="10">
        <f t="shared" si="16"/>
        <v>425</v>
      </c>
      <c r="K278" s="10">
        <f t="shared" si="17"/>
        <v>403.75</v>
      </c>
      <c r="L278" s="10">
        <v>49.91</v>
      </c>
      <c r="M278" s="10">
        <f t="shared" si="18"/>
        <v>154.20000000000002</v>
      </c>
      <c r="N278" t="str">
        <f t="shared" si="19"/>
        <v>Meta No Alcanzada</v>
      </c>
    </row>
    <row r="279" spans="1:14" ht="15" customHeight="1" x14ac:dyDescent="0.25">
      <c r="A279" s="2" t="s">
        <v>521</v>
      </c>
      <c r="B279" s="3" t="s">
        <v>522</v>
      </c>
      <c r="C279" s="2" t="s">
        <v>67</v>
      </c>
      <c r="D279" s="2" t="s">
        <v>40</v>
      </c>
      <c r="E279" s="2" t="s">
        <v>18</v>
      </c>
      <c r="F279" s="2" t="s">
        <v>41</v>
      </c>
      <c r="G279" s="4">
        <v>7</v>
      </c>
      <c r="H279" s="5">
        <v>2800</v>
      </c>
      <c r="I279" s="6">
        <v>0</v>
      </c>
      <c r="J279" s="5">
        <f t="shared" si="16"/>
        <v>19600</v>
      </c>
      <c r="K279" s="5">
        <f t="shared" si="17"/>
        <v>19600</v>
      </c>
      <c r="L279" s="5">
        <v>1944.33</v>
      </c>
      <c r="M279" s="5">
        <f t="shared" si="18"/>
        <v>5989.6900000000005</v>
      </c>
      <c r="N279" t="str">
        <f t="shared" si="19"/>
        <v>Meta Cumplida</v>
      </c>
    </row>
    <row r="280" spans="1:14" ht="15" customHeight="1" x14ac:dyDescent="0.25">
      <c r="A280" s="7" t="s">
        <v>523</v>
      </c>
      <c r="B280" s="8" t="s">
        <v>494</v>
      </c>
      <c r="C280" s="7" t="s">
        <v>80</v>
      </c>
      <c r="D280" s="7" t="s">
        <v>28</v>
      </c>
      <c r="E280" s="7" t="s">
        <v>49</v>
      </c>
      <c r="F280" s="7" t="s">
        <v>127</v>
      </c>
      <c r="G280" s="9">
        <v>8</v>
      </c>
      <c r="H280" s="10">
        <v>180</v>
      </c>
      <c r="I280" s="11">
        <v>0.1</v>
      </c>
      <c r="J280" s="10">
        <f t="shared" si="16"/>
        <v>1440</v>
      </c>
      <c r="K280" s="10">
        <f t="shared" si="17"/>
        <v>1296</v>
      </c>
      <c r="L280" s="10">
        <v>111.6</v>
      </c>
      <c r="M280" s="10">
        <f t="shared" si="18"/>
        <v>403.20000000000005</v>
      </c>
      <c r="N280" t="str">
        <f t="shared" si="19"/>
        <v>Meta No Alcanzada</v>
      </c>
    </row>
    <row r="281" spans="1:14" ht="15" customHeight="1" x14ac:dyDescent="0.25">
      <c r="A281" s="2" t="s">
        <v>524</v>
      </c>
      <c r="B281" s="3" t="s">
        <v>525</v>
      </c>
      <c r="C281" s="2" t="s">
        <v>44</v>
      </c>
      <c r="D281" s="2" t="s">
        <v>23</v>
      </c>
      <c r="E281" s="2" t="s">
        <v>36</v>
      </c>
      <c r="F281" s="2" t="s">
        <v>72</v>
      </c>
      <c r="G281" s="4">
        <v>9</v>
      </c>
      <c r="H281" s="5">
        <v>350</v>
      </c>
      <c r="I281" s="6">
        <v>0.05</v>
      </c>
      <c r="J281" s="5">
        <f t="shared" si="16"/>
        <v>3150</v>
      </c>
      <c r="K281" s="5">
        <f t="shared" si="17"/>
        <v>2992.5</v>
      </c>
      <c r="L281" s="5">
        <v>243.25</v>
      </c>
      <c r="M281" s="5">
        <f t="shared" si="18"/>
        <v>803.25</v>
      </c>
      <c r="N281" t="str">
        <f t="shared" si="19"/>
        <v>Meta No Alcanzada</v>
      </c>
    </row>
  </sheetData>
  <mergeCells count="1">
    <mergeCell ref="A1:M1"/>
  </mergeCells>
  <conditionalFormatting sqref="K2:K281">
    <cfRule type="colorScale" priority="3">
      <colorScale>
        <cfvo type="num" val="&quot;&gt;=5000&quot;"/>
        <cfvo type="num" val="&quot;&lt;5000&quot;"/>
        <color rgb="FF00B050"/>
        <color theme="5"/>
      </colorScale>
    </cfRule>
  </conditionalFormatting>
  <conditionalFormatting sqref="K3:K281">
    <cfRule type="cellIs" dxfId="1" priority="1" operator="lessThanOrEqual">
      <formula>5000</formula>
    </cfRule>
    <cfRule type="cellIs" dxfId="0" priority="2" operator="greaterThanOrEqual">
      <formula>5000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J17"/>
  <sheetViews>
    <sheetView showGridLines="0" zoomScaleNormal="100" workbookViewId="0">
      <pane ySplit="2" topLeftCell="A3" activePane="bottomLeft" state="frozen"/>
      <selection pane="bottomLeft" activeCell="G3" sqref="G3"/>
    </sheetView>
  </sheetViews>
  <sheetFormatPr baseColWidth="10" defaultColWidth="8.7109375" defaultRowHeight="15" x14ac:dyDescent="0.25"/>
  <cols>
    <col min="1" max="1" width="9" customWidth="1"/>
    <col min="2" max="2" width="12" customWidth="1"/>
    <col min="3" max="3" width="13" customWidth="1"/>
    <col min="4" max="4" width="16" customWidth="1"/>
    <col min="5" max="5" width="20" customWidth="1"/>
    <col min="6" max="8" width="14" customWidth="1"/>
    <col min="9" max="9" width="10" customWidth="1"/>
    <col min="10" max="10" width="14" customWidth="1"/>
  </cols>
  <sheetData>
    <row r="1" spans="1:10" ht="30" customHeight="1" x14ac:dyDescent="0.25">
      <c r="A1" s="56" t="s">
        <v>526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1.75" customHeight="1" x14ac:dyDescent="0.25">
      <c r="A2" s="1" t="s">
        <v>527</v>
      </c>
      <c r="B2" s="1" t="s">
        <v>528</v>
      </c>
      <c r="C2" s="1" t="s">
        <v>529</v>
      </c>
      <c r="D2" s="1" t="s">
        <v>530</v>
      </c>
      <c r="E2" s="1" t="s">
        <v>531</v>
      </c>
      <c r="F2" s="1" t="s">
        <v>4</v>
      </c>
      <c r="G2" s="1" t="s">
        <v>532</v>
      </c>
      <c r="H2" s="1" t="s">
        <v>533</v>
      </c>
      <c r="I2" s="1" t="s">
        <v>534</v>
      </c>
      <c r="J2" s="1" t="s">
        <v>535</v>
      </c>
    </row>
    <row r="3" spans="1:10" ht="15" customHeight="1" x14ac:dyDescent="0.25">
      <c r="A3" s="2" t="s">
        <v>536</v>
      </c>
      <c r="B3" s="2" t="s">
        <v>537</v>
      </c>
      <c r="C3" s="2" t="s">
        <v>538</v>
      </c>
      <c r="D3" s="2" t="s">
        <v>539</v>
      </c>
      <c r="E3" s="2" t="s">
        <v>540</v>
      </c>
      <c r="F3" s="2" t="s">
        <v>48</v>
      </c>
      <c r="G3" s="3" t="s">
        <v>541</v>
      </c>
      <c r="H3" s="5">
        <v>4500</v>
      </c>
      <c r="I3" s="6">
        <v>0.15</v>
      </c>
      <c r="J3" s="12">
        <f t="shared" ref="J3:J17" si="0">H3*(1+I3)</f>
        <v>5175</v>
      </c>
    </row>
    <row r="4" spans="1:10" ht="15" customHeight="1" x14ac:dyDescent="0.25">
      <c r="A4" s="7" t="s">
        <v>542</v>
      </c>
      <c r="B4" s="7" t="s">
        <v>543</v>
      </c>
      <c r="C4" s="7" t="s">
        <v>544</v>
      </c>
      <c r="D4" s="7" t="s">
        <v>539</v>
      </c>
      <c r="E4" s="7" t="s">
        <v>545</v>
      </c>
      <c r="F4" s="7" t="s">
        <v>28</v>
      </c>
      <c r="G4" s="8" t="s">
        <v>546</v>
      </c>
      <c r="H4" s="10">
        <v>3800</v>
      </c>
      <c r="I4" s="11">
        <v>0.12</v>
      </c>
      <c r="J4" s="13">
        <f t="shared" si="0"/>
        <v>4256</v>
      </c>
    </row>
    <row r="5" spans="1:10" ht="15" customHeight="1" x14ac:dyDescent="0.25">
      <c r="A5" s="2" t="s">
        <v>547</v>
      </c>
      <c r="B5" s="2" t="s">
        <v>548</v>
      </c>
      <c r="C5" s="2" t="s">
        <v>549</v>
      </c>
      <c r="D5" s="2" t="s">
        <v>539</v>
      </c>
      <c r="E5" s="2" t="s">
        <v>540</v>
      </c>
      <c r="F5" s="2" t="s">
        <v>17</v>
      </c>
      <c r="G5" s="3" t="s">
        <v>550</v>
      </c>
      <c r="H5" s="5">
        <v>4800</v>
      </c>
      <c r="I5" s="6">
        <v>0.18</v>
      </c>
      <c r="J5" s="12">
        <f t="shared" si="0"/>
        <v>5664</v>
      </c>
    </row>
    <row r="6" spans="1:10" ht="15" customHeight="1" x14ac:dyDescent="0.25">
      <c r="A6" s="7" t="s">
        <v>551</v>
      </c>
      <c r="B6" s="7" t="s">
        <v>552</v>
      </c>
      <c r="C6" s="7" t="s">
        <v>553</v>
      </c>
      <c r="D6" s="7" t="s">
        <v>539</v>
      </c>
      <c r="E6" s="7" t="s">
        <v>545</v>
      </c>
      <c r="F6" s="7" t="s">
        <v>23</v>
      </c>
      <c r="G6" s="8" t="s">
        <v>554</v>
      </c>
      <c r="H6" s="10">
        <v>3600</v>
      </c>
      <c r="I6" s="11">
        <v>0.1</v>
      </c>
      <c r="J6" s="13">
        <f t="shared" si="0"/>
        <v>3960.0000000000005</v>
      </c>
    </row>
    <row r="7" spans="1:10" ht="15" customHeight="1" x14ac:dyDescent="0.25">
      <c r="A7" s="2" t="s">
        <v>555</v>
      </c>
      <c r="B7" s="2" t="s">
        <v>556</v>
      </c>
      <c r="C7" s="2" t="s">
        <v>557</v>
      </c>
      <c r="D7" s="2" t="s">
        <v>539</v>
      </c>
      <c r="E7" s="2" t="s">
        <v>558</v>
      </c>
      <c r="F7" s="2" t="s">
        <v>40</v>
      </c>
      <c r="G7" s="3" t="s">
        <v>559</v>
      </c>
      <c r="H7" s="5">
        <v>3900</v>
      </c>
      <c r="I7" s="6">
        <v>0.12</v>
      </c>
      <c r="J7" s="12">
        <f t="shared" si="0"/>
        <v>4368</v>
      </c>
    </row>
    <row r="8" spans="1:10" ht="15" customHeight="1" x14ac:dyDescent="0.25">
      <c r="A8" s="7" t="s">
        <v>560</v>
      </c>
      <c r="B8" s="7" t="s">
        <v>561</v>
      </c>
      <c r="C8" s="7" t="s">
        <v>562</v>
      </c>
      <c r="D8" s="7" t="s">
        <v>539</v>
      </c>
      <c r="E8" s="7" t="s">
        <v>545</v>
      </c>
      <c r="F8" s="7" t="s">
        <v>59</v>
      </c>
      <c r="G8" s="8" t="s">
        <v>563</v>
      </c>
      <c r="H8" s="10">
        <v>3500</v>
      </c>
      <c r="I8" s="11">
        <v>0.08</v>
      </c>
      <c r="J8" s="13">
        <f t="shared" si="0"/>
        <v>3780.0000000000005</v>
      </c>
    </row>
    <row r="9" spans="1:10" ht="15" customHeight="1" x14ac:dyDescent="0.25">
      <c r="A9" s="2" t="s">
        <v>564</v>
      </c>
      <c r="B9" s="2" t="s">
        <v>565</v>
      </c>
      <c r="C9" s="2" t="s">
        <v>566</v>
      </c>
      <c r="D9" s="2" t="s">
        <v>567</v>
      </c>
      <c r="E9" s="2" t="s">
        <v>568</v>
      </c>
      <c r="F9" s="2" t="s">
        <v>23</v>
      </c>
      <c r="G9" s="3" t="s">
        <v>569</v>
      </c>
      <c r="H9" s="5">
        <v>5200</v>
      </c>
      <c r="I9" s="6">
        <v>0.2</v>
      </c>
      <c r="J9" s="12">
        <f t="shared" si="0"/>
        <v>6240</v>
      </c>
    </row>
    <row r="10" spans="1:10" ht="15" customHeight="1" x14ac:dyDescent="0.25">
      <c r="A10" s="7" t="s">
        <v>570</v>
      </c>
      <c r="B10" s="7" t="s">
        <v>571</v>
      </c>
      <c r="C10" s="7" t="s">
        <v>572</v>
      </c>
      <c r="D10" s="7" t="s">
        <v>573</v>
      </c>
      <c r="E10" s="7" t="s">
        <v>574</v>
      </c>
      <c r="F10" s="7" t="s">
        <v>23</v>
      </c>
      <c r="G10" s="8" t="s">
        <v>575</v>
      </c>
      <c r="H10" s="10">
        <v>4200</v>
      </c>
      <c r="I10" s="11">
        <v>0.1</v>
      </c>
      <c r="J10" s="13">
        <f t="shared" si="0"/>
        <v>4620</v>
      </c>
    </row>
    <row r="11" spans="1:10" ht="15" customHeight="1" x14ac:dyDescent="0.25">
      <c r="A11" s="2" t="s">
        <v>576</v>
      </c>
      <c r="B11" s="2" t="s">
        <v>577</v>
      </c>
      <c r="C11" s="2" t="s">
        <v>578</v>
      </c>
      <c r="D11" s="2" t="s">
        <v>579</v>
      </c>
      <c r="E11" s="2" t="s">
        <v>580</v>
      </c>
      <c r="F11" s="2" t="s">
        <v>23</v>
      </c>
      <c r="G11" s="3" t="s">
        <v>581</v>
      </c>
      <c r="H11" s="5">
        <v>4900</v>
      </c>
      <c r="I11" s="6">
        <v>0.15</v>
      </c>
      <c r="J11" s="12">
        <f t="shared" si="0"/>
        <v>5635</v>
      </c>
    </row>
    <row r="12" spans="1:10" ht="15" customHeight="1" x14ac:dyDescent="0.25">
      <c r="A12" s="7" t="s">
        <v>582</v>
      </c>
      <c r="B12" s="7" t="s">
        <v>583</v>
      </c>
      <c r="C12" s="7" t="s">
        <v>584</v>
      </c>
      <c r="D12" s="7" t="s">
        <v>585</v>
      </c>
      <c r="E12" s="7" t="s">
        <v>586</v>
      </c>
      <c r="F12" s="7" t="s">
        <v>23</v>
      </c>
      <c r="G12" s="8" t="s">
        <v>587</v>
      </c>
      <c r="H12" s="10">
        <v>5100</v>
      </c>
      <c r="I12" s="11">
        <v>0.18</v>
      </c>
      <c r="J12" s="13">
        <f t="shared" si="0"/>
        <v>6018</v>
      </c>
    </row>
    <row r="13" spans="1:10" ht="15" customHeight="1" x14ac:dyDescent="0.25">
      <c r="A13" s="2" t="s">
        <v>588</v>
      </c>
      <c r="B13" s="2" t="s">
        <v>589</v>
      </c>
      <c r="C13" s="2" t="s">
        <v>590</v>
      </c>
      <c r="D13" s="2" t="s">
        <v>591</v>
      </c>
      <c r="E13" s="2" t="s">
        <v>592</v>
      </c>
      <c r="F13" s="2" t="s">
        <v>40</v>
      </c>
      <c r="G13" s="3" t="s">
        <v>593</v>
      </c>
      <c r="H13" s="5">
        <v>3700</v>
      </c>
      <c r="I13" s="6">
        <v>0.1</v>
      </c>
      <c r="J13" s="12">
        <f t="shared" si="0"/>
        <v>4070.0000000000005</v>
      </c>
    </row>
    <row r="14" spans="1:10" ht="15" customHeight="1" x14ac:dyDescent="0.25">
      <c r="A14" s="7" t="s">
        <v>594</v>
      </c>
      <c r="B14" s="7" t="s">
        <v>595</v>
      </c>
      <c r="C14" s="7" t="s">
        <v>596</v>
      </c>
      <c r="D14" s="7" t="s">
        <v>597</v>
      </c>
      <c r="E14" s="7" t="s">
        <v>598</v>
      </c>
      <c r="F14" s="7" t="s">
        <v>23</v>
      </c>
      <c r="G14" s="8" t="s">
        <v>599</v>
      </c>
      <c r="H14" s="10">
        <v>8500</v>
      </c>
      <c r="I14" s="11">
        <v>0.25</v>
      </c>
      <c r="J14" s="13">
        <f t="shared" si="0"/>
        <v>10625</v>
      </c>
    </row>
    <row r="15" spans="1:10" ht="15" customHeight="1" x14ac:dyDescent="0.25">
      <c r="A15" s="2" t="s">
        <v>600</v>
      </c>
      <c r="B15" s="2" t="s">
        <v>601</v>
      </c>
      <c r="C15" s="2" t="s">
        <v>602</v>
      </c>
      <c r="D15" s="2" t="s">
        <v>579</v>
      </c>
      <c r="E15" s="2" t="s">
        <v>603</v>
      </c>
      <c r="F15" s="2" t="s">
        <v>23</v>
      </c>
      <c r="G15" s="3" t="s">
        <v>604</v>
      </c>
      <c r="H15" s="5">
        <v>3400</v>
      </c>
      <c r="I15" s="6">
        <v>0.08</v>
      </c>
      <c r="J15" s="12">
        <f t="shared" si="0"/>
        <v>3672.0000000000005</v>
      </c>
    </row>
    <row r="16" spans="1:10" ht="15" customHeight="1" x14ac:dyDescent="0.25">
      <c r="A16" s="7" t="s">
        <v>605</v>
      </c>
      <c r="B16" s="7" t="s">
        <v>606</v>
      </c>
      <c r="C16" s="7" t="s">
        <v>607</v>
      </c>
      <c r="D16" s="7" t="s">
        <v>573</v>
      </c>
      <c r="E16" s="7" t="s">
        <v>608</v>
      </c>
      <c r="F16" s="7" t="s">
        <v>23</v>
      </c>
      <c r="G16" s="8" t="s">
        <v>609</v>
      </c>
      <c r="H16" s="10">
        <v>5500</v>
      </c>
      <c r="I16" s="11">
        <v>0.15</v>
      </c>
      <c r="J16" s="13">
        <f t="shared" si="0"/>
        <v>6324.9999999999991</v>
      </c>
    </row>
    <row r="17" spans="1:10" ht="15" customHeight="1" x14ac:dyDescent="0.25">
      <c r="A17" s="2" t="s">
        <v>610</v>
      </c>
      <c r="B17" s="2" t="s">
        <v>611</v>
      </c>
      <c r="C17" s="2" t="s">
        <v>612</v>
      </c>
      <c r="D17" s="2" t="s">
        <v>585</v>
      </c>
      <c r="E17" s="2" t="s">
        <v>613</v>
      </c>
      <c r="F17" s="2" t="s">
        <v>48</v>
      </c>
      <c r="G17" s="3" t="s">
        <v>614</v>
      </c>
      <c r="H17" s="5">
        <v>3800</v>
      </c>
      <c r="I17" s="6">
        <v>0.1</v>
      </c>
      <c r="J17" s="12">
        <f t="shared" si="0"/>
        <v>4180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KPI Dashboard</vt:lpstr>
      <vt:lpstr>Análisis</vt:lpstr>
      <vt:lpstr>Reporte Mensual</vt:lpstr>
      <vt:lpstr>Ranking</vt:lpstr>
      <vt:lpstr>Tabla Dinámica</vt:lpstr>
      <vt:lpstr>Ventas</vt:lpstr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WinterOS</cp:lastModifiedBy>
  <cp:revision>0</cp:revision>
  <dcterms:created xsi:type="dcterms:W3CDTF">2026-05-31T04:40:39Z</dcterms:created>
  <dcterms:modified xsi:type="dcterms:W3CDTF">2026-06-18T00:46:22Z</dcterms:modified>
  <dc:language>en-US</dc:language>
</cp:coreProperties>
</file>